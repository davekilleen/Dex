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idatlanticmachinery-my.sharepoint.com/personal/cbarsanti_midatlanticmachinery_com/Documents/02-Notes-Itinerary/"/>
    </mc:Choice>
  </mc:AlternateContent>
  <xr:revisionPtr revIDLastSave="0" documentId="8_{A5EE4D20-4EF5-4881-B78F-0570E1031A7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Week 25 Itinerary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1" l="1"/>
  <c r="B15" i="1" s="1"/>
  <c r="B22" i="1" s="1"/>
  <c r="B30" i="1" s="1"/>
  <c r="B37" i="1" s="1"/>
</calcChain>
</file>

<file path=xl/sharedStrings.xml><?xml version="1.0" encoding="utf-8"?>
<sst xmlns="http://schemas.openxmlformats.org/spreadsheetml/2006/main" count="85" uniqueCount="85">
  <si>
    <t>Itinerary Week of:</t>
  </si>
  <si>
    <t>Highlight the accounts you will promote our KPI - Vendors to this week.</t>
  </si>
  <si>
    <t>TRUMPF - Vendor, KALTENBACH North America Inc., Mid Atlantic Global, Pat Mooney Saws, FAB-LINE MACHINERY LLC (Baykal), AGT Robotics, Cidan Machinery, Flow Waterjet, Vectis Automation, Electro-Mechanical Integrators Inc. (EMI), ALLtra Corp., Geka USA, HE&amp;M Saw, Mid Atlantic Machinery Automation, Standard Industrial Corp., Lone Star Cutting Solutions, C.R. Onsrud - Vendor</t>
  </si>
  <si>
    <t>Highlight (2) New Accounts to visit</t>
  </si>
  <si>
    <t>HT Lyons (Allentown) - Requalify robotic welding opp</t>
  </si>
  <si>
    <t>Day:</t>
  </si>
  <si>
    <t>Comment:</t>
  </si>
  <si>
    <t>Details:</t>
  </si>
  <si>
    <t>Monday — Lehigh Valley</t>
  </si>
  <si>
    <t>MAM Huddle</t>
  </si>
  <si>
    <t>Weekly team huddle</t>
  </si>
  <si>
    <t>Pipeline Review / Route Planning</t>
  </si>
  <si>
    <t>Review carryovers and prioritize this week — 7 Negotiation deals worth $9.3M</t>
  </si>
  <si>
    <t>TRU - TruLaser 1000/3000 ($1.03M) — Schedule Rogowski meeting this week, confirm pricing, push for PO. Jim Yandrofski (484) 357-3752</t>
  </si>
  <si>
    <t>Human Active Technology</t>
  </si>
  <si>
    <t>TRU Panel Bender/TM3000/TB1000/TruArc Weld/TB7036 ($2.5M, 5 deals Favorable) — Visit Jim Allen, assess timeline, multithread</t>
  </si>
  <si>
    <t>Myers Emergency Power Systems</t>
  </si>
  <si>
    <t>CID - CNC Folder ($526K Favorable) + TRU TruBend ($117K Quoting) — Check status, push for demo, combo deal opportunity</t>
  </si>
  <si>
    <t>Levan Associates Inc</t>
  </si>
  <si>
    <t>AGT - BeamMaster ($413K Favorable) — David Mushko 610-967-6843 — Advance to close plan, confirm demo complete</t>
  </si>
  <si>
    <t>Szoke Brothers Inc. (call)</t>
  </si>
  <si>
    <t>ALL - Plasma ($228K Favorable) — Tom Szoke (610) 760-0588 — Confirm visit or call to review Alltra timeline</t>
  </si>
  <si>
    <t>Phoenix Forge (call)</t>
  </si>
  <si>
    <t>AID - NC1 Press ($164K Favorable) — Scott Adam 484-861-1281 — Update NC2 quote</t>
  </si>
  <si>
    <t>Tuesday — Philadelphia / Bensalem</t>
  </si>
  <si>
    <t>TRU - TL3080/3060/3040 24kW ($1.42M) + SOU N2 Generation ($295K) — Evgeny Voytovich (215) 680-7239 — Lock Rogowski meeting, push for PO timeline</t>
  </si>
  <si>
    <t>Pennsylvania Steel Company</t>
  </si>
  <si>
    <t>PMI - T1 Plate Saw ($165K Quoting — Phil D'Amico re-engaged 6/12!) + HYD/HEM/PMI saws ($416K) — Bring updated Pat Mooney requote, visit in person</t>
  </si>
  <si>
    <t>Penn Steel Fabrication (call)</t>
  </si>
  <si>
    <t>KAL Drill Saw + AGT BeamMaster (Favorable) — Ali Fahim (267) 878-0705 — Get pricing for used machines</t>
  </si>
  <si>
    <t>Northeast Plastics (call)</t>
  </si>
  <si>
    <t>CRO - Router ($250K Active Project) — Patrick Wert 215-637-221 — Check project milestone</t>
  </si>
  <si>
    <t>Wednesday — Montgomery County</t>
  </si>
  <si>
    <t>SS Industries</t>
  </si>
  <si>
    <t>VEC Cobot Welder ($125K Fav) + EMI Plasma ($105K Fav) + TRU Laser ($605K) — Donald Lozzi (610) 489-5799 — Multi-deal, confirm priorities, multithread</t>
  </si>
  <si>
    <t>EC Fence &amp; Ironworks</t>
  </si>
  <si>
    <t>Aluminum Saw ($63K Favorable) + Crane ($157K Quoting) — Erik Sims (484) 679-1350 — Push saw to PO, check crane timing</t>
  </si>
  <si>
    <t>Gambone Steel Company</t>
  </si>
  <si>
    <t>EMI ELSQ ($140K Active) + ALL Plasma ($221K Quoting) — Ralph Gambone (610) 539-6505 — Check EMI demo status, follow up Alltra quote</t>
  </si>
  <si>
    <t>Wolsky Metal Fabrication</t>
  </si>
  <si>
    <t>VIR LTG ($43K Favorable) + EMI ELSQRD ($147K Quoting) — 5+ weeks since last touch — Get Virtek deal closed, advance EMI</t>
  </si>
  <si>
    <t>Craftweld Fabrication</t>
  </si>
  <si>
    <t>FIN - FL4200 ($177K Active Project) — Glenn Spalding (267) 492-1100 — Check project status</t>
  </si>
  <si>
    <t>Unique Machine Co.</t>
  </si>
  <si>
    <t>PMI - Bandsaw ($94K Active Project) — Justin Reed (215) 368-8550 — Milestone review</t>
  </si>
  <si>
    <t>Michael Addesso Marble (call)</t>
  </si>
  <si>
    <t>FLO - Mach500c ($414K Active) — Chris Capodanno 5612469410 — Check project milestone</t>
  </si>
  <si>
    <t>Thursday — Upper Bucks / Souderton</t>
  </si>
  <si>
    <t>FMB Used EMI ($30K) — Confirm decision timeline, request PO while machine is available. Quick close.</t>
  </si>
  <si>
    <t>Gwynedd Manufacturing Co</t>
  </si>
  <si>
    <t>TRU - TL1030 ($400K Quoting) — 6+ weeks since last touch — Formal quote review with Cody Noll, align on decision process</t>
  </si>
  <si>
    <t>Vulcan Spring &amp; Manufacturing</t>
  </si>
  <si>
    <t>TRU - TLS7000 ($300K Active Project) — 2 months since touch, risk of going cold — Check project status and milestones</t>
  </si>
  <si>
    <t>Scaletron Industries</t>
  </si>
  <si>
    <t>TRU TB3170/5170 ($249K) + MAG FL6300RD ($250K) — Two big quotes, review both and identify decision-maker</t>
  </si>
  <si>
    <t>J.I. Landis Welding</t>
  </si>
  <si>
    <t>Bracalente Manufacturing (call)</t>
  </si>
  <si>
    <t>PMI - NC24 LS-Type ($78K Active Project) — Check on demo status</t>
  </si>
  <si>
    <t>Friday — Office Day + NEPA Calls</t>
  </si>
  <si>
    <t>TRU TruBend ($140K) + CID Folder (Active) — Joe Carr (570) 342-6327 — Push for close timeline</t>
  </si>
  <si>
    <t>Kelly Iron Works (call)</t>
  </si>
  <si>
    <t>KAL Saw Drill ($814K Fav) + PRO Beam Line ($544K Fav) + KAL Cold Saw ($60K) + Robotic Plasma ($1.3M+$482K) — $3.1M pipeline, schedule in-person next week</t>
  </si>
  <si>
    <t>Galaxy Manufacturing (call)</t>
  </si>
  <si>
    <t>MAM AutoTend ($219K Active) + TRU Robotic Welder ($150K) + TB2100 ($99K) + TruBend/MRC ($248K) — Lee Batzel 570-457-5199</t>
  </si>
  <si>
    <t>Powell's Sales and Service (call)</t>
  </si>
  <si>
    <t>GEK HYD 165S ($302K Active) + STA AB500-12 ($264K Active) — Pat Brennan (570) 587-2743 — Check insurance claim, push demo</t>
  </si>
  <si>
    <t>Gottstein Corporation (call)</t>
  </si>
  <si>
    <t>FLO Mach500 ($415K Active) + TRU Laser/Brake/Punch ($280K) — Andy Skuntz (570) 454-7162</t>
  </si>
  <si>
    <t>Weekly Strategy Session (1:00–2:30)</t>
  </si>
  <si>
    <t>Follow-Ups &amp; Admin (2:30–4:00)</t>
  </si>
  <si>
    <t>Post-visit emails, update Salesforce, confirm Pat Mooney requote, confirm L. Liberato AGT visit 6/22-23</t>
  </si>
  <si>
    <t>Northeast Building Products</t>
  </si>
  <si>
    <t>PMI- Saw service/parts recap</t>
  </si>
  <si>
    <t>Haberle Steel, Inc</t>
  </si>
  <si>
    <t>RJR Fabrication</t>
  </si>
  <si>
    <t>James Cox &amp; Sons</t>
  </si>
  <si>
    <t>Priority Calls (AM)</t>
  </si>
  <si>
    <t>Call block 8:30–11:30 — Plan in-person route for next week based on results</t>
  </si>
  <si>
    <t>All Steel Service Inc</t>
  </si>
  <si>
    <t>Hadco Metal Trading Co</t>
  </si>
  <si>
    <t>Hanwha Philly Shipyard</t>
  </si>
  <si>
    <t>BAY Press Brake Small ($1.09M) + Tandem ($5.26M) + TEC Laser ($1M) + KAL ShotBlast ($3.6M) — $10.9M pipeline, last touch 5/11</t>
  </si>
  <si>
    <t>WIL Knee Mill ($13K Active) + CNC Lathe ($26K) + Manual Lathe ($45K) — Willis deals, discuss pricing/timeline</t>
  </si>
  <si>
    <t>TRU TruBend 3000/5000/7000 ($295K) — Discuss need/timeline</t>
  </si>
  <si>
    <t>Pipeline review, update opportunity files from Mon-Thu visits, build next week routes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</si>
</sst>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charset val="1"/>
    </font>
    <font>
      <b/>
      <sz val="1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79857783745845"/>
        <bgColor rgb="FFB7DEE8"/>
      </patternFill>
    </fill>
    <fill>
      <patternFill patternType="solid">
        <fgColor theme="8" tint="0.59987182226020086"/>
        <bgColor rgb="FFC6D9F1"/>
      </patternFill>
    </fill>
    <fill>
      <patternFill patternType="solid">
        <fgColor theme="9" tint="0.59987182226020086"/>
        <bgColor rgb="FFFFF2CC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top"/>
    </xf>
    <xf numFmtId="164" fontId="1" fillId="2" borderId="0" xfId="0" applyNumberFormat="1" applyFont="1" applyFill="1" applyAlignment="1">
      <alignment horizontal="center" vertical="top"/>
    </xf>
    <xf numFmtId="0" fontId="0" fillId="2" borderId="0" xfId="0" applyFill="1"/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4" fillId="5" borderId="0" xfId="0" applyFont="1" applyFill="1" applyAlignment="1">
      <alignment horizontal="left" vertical="top"/>
    </xf>
    <xf numFmtId="0" fontId="1" fillId="5" borderId="0" xfId="0" applyFont="1" applyFill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164" fontId="3" fillId="2" borderId="0" xfId="0" applyNumberFormat="1" applyFont="1" applyFill="1" applyAlignment="1">
      <alignment horizontal="center" vertical="top"/>
    </xf>
    <xf numFmtId="0" fontId="7" fillId="2" borderId="0" xfId="0" applyFont="1" applyFill="1"/>
    <xf numFmtId="0" fontId="3" fillId="3" borderId="0" xfId="0" applyFont="1" applyFill="1" applyBorder="1" applyAlignment="1">
      <alignment vertical="center" wrapText="1"/>
    </xf>
    <xf numFmtId="0" fontId="2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zoomScaleNormal="100" workbookViewId="0">
      <selection activeCell="B2" sqref="B2:C2"/>
    </sheetView>
  </sheetViews>
  <sheetFormatPr defaultColWidth="8.7109375" defaultRowHeight="15" x14ac:dyDescent="0.25"/>
  <cols>
    <col min="1" max="1" width="37" bestFit="1" customWidth="1"/>
    <col min="2" max="2" width="13.5703125" customWidth="1"/>
    <col min="3" max="3" width="75" customWidth="1"/>
  </cols>
  <sheetData>
    <row r="1" spans="1:3" x14ac:dyDescent="0.25">
      <c r="A1" s="12" t="s">
        <v>0</v>
      </c>
      <c r="B1" s="13">
        <v>46187</v>
      </c>
      <c r="C1" s="14"/>
    </row>
    <row r="2" spans="1:3" ht="30" customHeight="1" x14ac:dyDescent="0.25">
      <c r="A2" s="4" t="s">
        <v>1</v>
      </c>
      <c r="B2" s="15" t="s">
        <v>2</v>
      </c>
      <c r="C2" s="15"/>
    </row>
    <row r="3" spans="1:3" x14ac:dyDescent="0.25">
      <c r="A3" s="5" t="s">
        <v>3</v>
      </c>
      <c r="B3" s="16" t="s">
        <v>4</v>
      </c>
      <c r="C3" s="16"/>
    </row>
    <row r="4" spans="1:3" x14ac:dyDescent="0.25">
      <c r="A4" s="6" t="s">
        <v>5</v>
      </c>
      <c r="B4" s="7" t="s">
        <v>6</v>
      </c>
      <c r="C4" s="6" t="s">
        <v>7</v>
      </c>
    </row>
    <row r="6" spans="1:3" x14ac:dyDescent="0.25">
      <c r="A6" s="1" t="s">
        <v>8</v>
      </c>
      <c r="B6" s="2">
        <f>B1+1</f>
        <v>46188</v>
      </c>
      <c r="C6" s="3"/>
    </row>
    <row r="7" spans="1:3" x14ac:dyDescent="0.25">
      <c r="A7" s="8" t="s">
        <v>9</v>
      </c>
      <c r="C7" s="9" t="s">
        <v>10</v>
      </c>
    </row>
    <row r="8" spans="1:3" x14ac:dyDescent="0.25">
      <c r="A8" s="8" t="s">
        <v>11</v>
      </c>
      <c r="C8" s="9" t="s">
        <v>12</v>
      </c>
    </row>
    <row r="9" spans="1:3" x14ac:dyDescent="0.25">
      <c r="A9" s="10" t="s">
        <v>79</v>
      </c>
      <c r="C9" s="11" t="s">
        <v>25</v>
      </c>
    </row>
    <row r="10" spans="1:3" x14ac:dyDescent="0.25">
      <c r="A10" s="10" t="s">
        <v>26</v>
      </c>
      <c r="C10" s="11" t="s">
        <v>27</v>
      </c>
    </row>
    <row r="11" spans="1:3" x14ac:dyDescent="0.25">
      <c r="A11" s="10" t="s">
        <v>80</v>
      </c>
      <c r="C11" s="11" t="s">
        <v>81</v>
      </c>
    </row>
    <row r="12" spans="1:3" x14ac:dyDescent="0.25">
      <c r="A12" s="10" t="s">
        <v>28</v>
      </c>
      <c r="C12" s="11" t="s">
        <v>29</v>
      </c>
    </row>
    <row r="13" spans="1:3" x14ac:dyDescent="0.25">
      <c r="A13" s="10" t="s">
        <v>30</v>
      </c>
      <c r="C13" s="11" t="s">
        <v>31</v>
      </c>
    </row>
    <row r="14" spans="1:3" x14ac:dyDescent="0.25">
      <c r="A14" s="10" t="s">
        <v>71</v>
      </c>
      <c r="C14" s="11" t="s">
        <v>72</v>
      </c>
    </row>
    <row r="15" spans="1:3" x14ac:dyDescent="0.25">
      <c r="A15" s="1" t="s">
        <v>24</v>
      </c>
      <c r="B15" s="2">
        <f>B6+1</f>
        <v>46189</v>
      </c>
      <c r="C15" s="3"/>
    </row>
    <row r="16" spans="1:3" x14ac:dyDescent="0.25">
      <c r="A16" s="10" t="s">
        <v>78</v>
      </c>
      <c r="C16" s="11" t="s">
        <v>13</v>
      </c>
    </row>
    <row r="17" spans="1:3" x14ac:dyDescent="0.25">
      <c r="A17" s="10" t="s">
        <v>14</v>
      </c>
      <c r="C17" s="11" t="s">
        <v>15</v>
      </c>
    </row>
    <row r="18" spans="1:3" x14ac:dyDescent="0.25">
      <c r="A18" s="10" t="s">
        <v>16</v>
      </c>
      <c r="C18" s="11" t="s">
        <v>17</v>
      </c>
    </row>
    <row r="19" spans="1:3" x14ac:dyDescent="0.25">
      <c r="A19" s="10" t="s">
        <v>18</v>
      </c>
      <c r="C19" s="11" t="s">
        <v>19</v>
      </c>
    </row>
    <row r="20" spans="1:3" x14ac:dyDescent="0.25">
      <c r="A20" s="10" t="s">
        <v>20</v>
      </c>
      <c r="C20" s="11" t="s">
        <v>21</v>
      </c>
    </row>
    <row r="21" spans="1:3" x14ac:dyDescent="0.25">
      <c r="A21" s="10" t="s">
        <v>22</v>
      </c>
      <c r="C21" s="11" t="s">
        <v>23</v>
      </c>
    </row>
    <row r="22" spans="1:3" x14ac:dyDescent="0.25">
      <c r="A22" s="1" t="s">
        <v>32</v>
      </c>
      <c r="B22" s="2">
        <f>B15+1</f>
        <v>46190</v>
      </c>
      <c r="C22" s="3"/>
    </row>
    <row r="23" spans="1:3" x14ac:dyDescent="0.25">
      <c r="A23" s="10" t="s">
        <v>33</v>
      </c>
      <c r="C23" s="11" t="s">
        <v>34</v>
      </c>
    </row>
    <row r="24" spans="1:3" x14ac:dyDescent="0.25">
      <c r="A24" s="10" t="s">
        <v>35</v>
      </c>
      <c r="C24" s="11" t="s">
        <v>36</v>
      </c>
    </row>
    <row r="25" spans="1:3" x14ac:dyDescent="0.25">
      <c r="A25" s="10" t="s">
        <v>37</v>
      </c>
      <c r="C25" s="11" t="s">
        <v>38</v>
      </c>
    </row>
    <row r="26" spans="1:3" x14ac:dyDescent="0.25">
      <c r="A26" s="10" t="s">
        <v>39</v>
      </c>
      <c r="C26" s="11" t="s">
        <v>40</v>
      </c>
    </row>
    <row r="27" spans="1:3" x14ac:dyDescent="0.25">
      <c r="A27" s="10" t="s">
        <v>41</v>
      </c>
      <c r="C27" s="11" t="s">
        <v>42</v>
      </c>
    </row>
    <row r="28" spans="1:3" x14ac:dyDescent="0.25">
      <c r="A28" s="10" t="s">
        <v>43</v>
      </c>
      <c r="C28" s="11" t="s">
        <v>44</v>
      </c>
    </row>
    <row r="29" spans="1:3" x14ac:dyDescent="0.25">
      <c r="A29" s="10" t="s">
        <v>45</v>
      </c>
      <c r="C29" s="11" t="s">
        <v>46</v>
      </c>
    </row>
    <row r="30" spans="1:3" x14ac:dyDescent="0.25">
      <c r="A30" s="1" t="s">
        <v>47</v>
      </c>
      <c r="B30" s="2">
        <f>B22+1</f>
        <v>46191</v>
      </c>
      <c r="C30" s="3"/>
    </row>
    <row r="31" spans="1:3" x14ac:dyDescent="0.25">
      <c r="A31" s="10" t="s">
        <v>73</v>
      </c>
      <c r="C31" s="11" t="s">
        <v>48</v>
      </c>
    </row>
    <row r="32" spans="1:3" x14ac:dyDescent="0.25">
      <c r="A32" s="10" t="s">
        <v>49</v>
      </c>
      <c r="C32" s="11" t="s">
        <v>50</v>
      </c>
    </row>
    <row r="33" spans="1:3" x14ac:dyDescent="0.25">
      <c r="A33" s="10" t="s">
        <v>51</v>
      </c>
      <c r="C33" s="11" t="s">
        <v>52</v>
      </c>
    </row>
    <row r="34" spans="1:3" x14ac:dyDescent="0.25">
      <c r="A34" s="10" t="s">
        <v>53</v>
      </c>
      <c r="C34" s="11" t="s">
        <v>54</v>
      </c>
    </row>
    <row r="35" spans="1:3" x14ac:dyDescent="0.25">
      <c r="A35" s="10" t="s">
        <v>55</v>
      </c>
      <c r="C35" s="11" t="s">
        <v>82</v>
      </c>
    </row>
    <row r="36" spans="1:3" x14ac:dyDescent="0.25">
      <c r="A36" s="10" t="s">
        <v>56</v>
      </c>
      <c r="C36" s="11" t="s">
        <v>57</v>
      </c>
    </row>
    <row r="37" spans="1:3" x14ac:dyDescent="0.25">
      <c r="A37" s="1" t="s">
        <v>58</v>
      </c>
      <c r="B37" s="2">
        <f>B30+1</f>
        <v>46192</v>
      </c>
      <c r="C37" s="3"/>
    </row>
    <row r="38" spans="1:3" x14ac:dyDescent="0.25">
      <c r="A38" s="8" t="s">
        <v>76</v>
      </c>
      <c r="C38" s="9" t="s">
        <v>77</v>
      </c>
    </row>
    <row r="39" spans="1:3" x14ac:dyDescent="0.25">
      <c r="A39" s="10" t="s">
        <v>74</v>
      </c>
      <c r="C39" s="11" t="s">
        <v>83</v>
      </c>
    </row>
    <row r="40" spans="1:3" x14ac:dyDescent="0.25">
      <c r="A40" s="10" t="s">
        <v>75</v>
      </c>
      <c r="C40" s="11" t="s">
        <v>59</v>
      </c>
    </row>
    <row r="41" spans="1:3" x14ac:dyDescent="0.25">
      <c r="A41" s="10" t="s">
        <v>60</v>
      </c>
      <c r="C41" s="11" t="s">
        <v>61</v>
      </c>
    </row>
    <row r="42" spans="1:3" x14ac:dyDescent="0.25">
      <c r="A42" s="10" t="s">
        <v>62</v>
      </c>
      <c r="C42" s="11" t="s">
        <v>63</v>
      </c>
    </row>
    <row r="43" spans="1:3" x14ac:dyDescent="0.25">
      <c r="A43" s="10" t="s">
        <v>64</v>
      </c>
      <c r="C43" s="11" t="s">
        <v>65</v>
      </c>
    </row>
    <row r="44" spans="1:3" x14ac:dyDescent="0.25">
      <c r="A44" s="10" t="s">
        <v>66</v>
      </c>
      <c r="C44" s="11" t="s">
        <v>67</v>
      </c>
    </row>
    <row r="45" spans="1:3" x14ac:dyDescent="0.25">
      <c r="A45" s="8" t="s">
        <v>68</v>
      </c>
      <c r="C45" s="9" t="s">
        <v>84</v>
      </c>
    </row>
    <row r="46" spans="1:3" x14ac:dyDescent="0.25">
      <c r="A46" s="8" t="s">
        <v>69</v>
      </c>
      <c r="C46" s="9" t="s">
        <v>70</v>
      </c>
    </row>
  </sheetData>
  <mergeCells count="2">
    <mergeCell ref="B2:C2"/>
    <mergeCell ref="B3:C3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8E92908C16F46B146892DFB70CF0E" ma:contentTypeVersion="19" ma:contentTypeDescription="Create a new document." ma:contentTypeScope="" ma:versionID="ed5572b8bd0134f991f61168cf14ca4a">
  <xsd:schema xmlns:xsd="http://www.w3.org/2001/XMLSchema" xmlns:xs="http://www.w3.org/2001/XMLSchema" xmlns:p="http://schemas.microsoft.com/office/2006/metadata/properties" xmlns:ns3="56aadc48-382b-4e51-a3ef-f9da86f1390f" xmlns:ns4="69f7cd07-8373-4fcc-a970-2f61ff577b02" targetNamespace="http://schemas.microsoft.com/office/2006/metadata/properties" ma:root="true" ma:fieldsID="87ed8cbc77273f583c5813d270734f89" ns3:_="" ns4:_="">
    <xsd:import namespace="56aadc48-382b-4e51-a3ef-f9da86f1390f"/>
    <xsd:import namespace="69f7cd07-8373-4fcc-a970-2f61ff577b0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adc48-382b-4e51-a3ef-f9da86f1390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7cd07-8373-4fcc-a970-2f61ff577b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9f7cd07-8373-4fcc-a970-2f61ff577b02" xsi:nil="true"/>
  </documentManagement>
</p:properties>
</file>

<file path=customXml/itemProps1.xml><?xml version="1.0" encoding="utf-8"?>
<ds:datastoreItem xmlns:ds="http://schemas.openxmlformats.org/officeDocument/2006/customXml" ds:itemID="{BBBD8B86-E94E-4298-8EB8-FDDFD0FF57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aadc48-382b-4e51-a3ef-f9da86f1390f"/>
    <ds:schemaRef ds:uri="69f7cd07-8373-4fcc-a970-2f61ff577b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02F236-8287-4EE6-989C-8A3531AC32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20526-DCB6-473F-8957-197F60AE4B20}">
  <ds:schemaRefs>
    <ds:schemaRef ds:uri="http://purl.org/dc/dcmitype/"/>
    <ds:schemaRef ds:uri="69f7cd07-8373-4fcc-a970-2f61ff577b02"/>
    <ds:schemaRef ds:uri="56aadc48-382b-4e51-a3ef-f9da86f1390f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25 Itinerary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Chris Barsanti</cp:lastModifiedBy>
  <cp:revision>0</cp:revision>
  <dcterms:created xsi:type="dcterms:W3CDTF">2026-06-15T03:16:59Z</dcterms:created>
  <dcterms:modified xsi:type="dcterms:W3CDTF">2026-06-16T03:20:07Z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0x010100AD68E92908C16F46B146892DFB70CF0E</vt:lpwstr>
  </property>
</Properties>
</file>