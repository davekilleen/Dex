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ris\Documents\GitHub\dex\Planning\"/>
    </mc:Choice>
  </mc:AlternateContent>
  <xr:revisionPtr revIDLastSave="0" documentId="13_ncr:1_{32D59DED-0FE6-4DB1-91A0-E576ACDAE4B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Week 26 Itinerary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" l="1"/>
  <c r="B36" i="1"/>
  <c r="B26" i="1"/>
  <c r="B15" i="1"/>
  <c r="B6" i="1"/>
</calcChain>
</file>

<file path=xl/sharedStrings.xml><?xml version="1.0" encoding="utf-8"?>
<sst xmlns="http://schemas.openxmlformats.org/spreadsheetml/2006/main" count="105" uniqueCount="105">
  <si>
    <t>Itinerary Week of:</t>
  </si>
  <si>
    <t>Highlight the accounts you will promote our KPI - Vendors to this week.</t>
  </si>
  <si>
    <t>AGT Robotics, TRUMPF - Vendor, KALTENBACH North America Inc., Mid Atlantic Global, Pat Mooney Saws, FAB-LINE MACHINERY LLC (Baykal), Cidan Machinery, Flow Waterjet, Vectis Automation, Electro-Mechanical Integrators Inc. (EMI), ALLtra Corp., Geka USA, HE&amp;M Saw, Mid Atlantic Machinery Automation, Standard Industrial Corp.</t>
  </si>
  <si>
    <t>Highlight (2) New Accounts to visit</t>
  </si>
  <si>
    <t>Penn Steel Fabrication — AGT in-person demo (Jun 23)</t>
  </si>
  <si>
    <t>Day:</t>
  </si>
  <si>
    <t>Comment:</t>
  </si>
  <si>
    <t>Details:</t>
  </si>
  <si>
    <t>Monday - Lehigh Valley</t>
  </si>
  <si>
    <t>MAM Huddle</t>
  </si>
  <si>
    <t>Weekly team huddle</t>
  </si>
  <si>
    <t>Pipeline Review / Route Planning</t>
  </si>
  <si>
    <t>Review carryovers, finalize Lehigh Valley route</t>
  </si>
  <si>
    <t>Mack Truck, Inc</t>
  </si>
  <si>
    <t>TRU - Laser ($495K Quoting) — Matt Stamm, Supervisor / Bill De Mauriac — (610) 966-8838 — Macungie, PA</t>
  </si>
  <si>
    <t>Hale Trailer Brake &amp; Wheel</t>
  </si>
  <si>
    <t>STA - Press Brake ($127K Favorable) — Bryan Crist, GM — (610) 395-0371 — Allentown, PA</t>
  </si>
  <si>
    <t>HT Lyons</t>
  </si>
  <si>
    <t>TRU/VEC - TruArc Weld/Vectis ($150K Discovery) — Buddy Kida, GM — (610) 530-2600 — Requalify robotic welding opp</t>
  </si>
  <si>
    <t>P/A - Payoff/Straighten/Feed/Shear ($100K Discovery) — Shawn Furman, Automation Consultant — (610) 737-2529 — Allentown</t>
  </si>
  <si>
    <t>Pocono Metals (call)</t>
  </si>
  <si>
    <t>FMB - Used EMI — follow up, confirm timeline</t>
  </si>
  <si>
    <t>Rybnick Mechanical (call)</t>
  </si>
  <si>
    <t>Suggest local demo, advance conversation</t>
  </si>
  <si>
    <t>Tuesday - Bensalem / Bristol, PA</t>
  </si>
  <si>
    <t>Human Active Technology</t>
  </si>
  <si>
    <t>TRU Panel Bender/TM3000/TB1000/TruArc Weld ($2.5M, 5 deals Favorable) — Jim Allen — assess timeline, multithread</t>
  </si>
  <si>
    <t>All Steel Service Inc</t>
  </si>
  <si>
    <t>TRU - TruLaser 1000/3000 ($1.03M Negotiation) — Jim Yandrofski (484) 357-3752 — confirm pricing, push for PO</t>
  </si>
  <si>
    <t>Myers Emergency Power Systems</t>
  </si>
  <si>
    <t>CID - CNC Folder ($526K Favorable) + TRU TruBend ($117K Quoting) — check status, push for demo, combo deal</t>
  </si>
  <si>
    <t>Hadco Metal Trading Co</t>
  </si>
  <si>
    <t>TRU - TL3080/3060/3040 24kW ($1.42M Negotiation) + SOU N2 Generation ($295K) — Evgeny Voytovich (215) 680-7239</t>
  </si>
  <si>
    <t>Pennsylvania Steel Company</t>
  </si>
  <si>
    <t>PMI - T1 Plate Saw ($165K Quoting, Mike Loveland re-engaged 6/12) + HYD/HEM saws ($416K) — bring updated Pat Mooney requote</t>
  </si>
  <si>
    <t>Levan Associates Inc</t>
  </si>
  <si>
    <t>AGT - BeamMaster ($413K Favorable) — David Mushko (610) 967-6843 — advance to close plan</t>
  </si>
  <si>
    <t>Penn Steel Fabrication (1:00 PM)</t>
  </si>
  <si>
    <t>AGT Product Portfolio Demo — IN PERSON | Ali Fahim (267) 878-0705 | 805 N Wilson Ave #206, Bristol PA | Dean Bower (AGT), Tom Belizzia (MAM)</t>
  </si>
  <si>
    <t>Hanwha Philly Shipyard</t>
  </si>
  <si>
    <t>BAY Tandem ($5.26M Neg) + BAY Small ($1.09M Neg) + TEC Laser ($1M) + KAL ShotBlast ($3.6M) — $10.9M pipeline, last touch 5/11</t>
  </si>
  <si>
    <t>Post-Demo Follow-Up</t>
  </si>
  <si>
    <t>Log to SF, send follow-up to Ali Fahim, confirm next step before EOD</t>
  </si>
  <si>
    <t>Wednesday - Montgomery County</t>
  </si>
  <si>
    <t>Penn Steel Debrief (AM)</t>
  </si>
  <si>
    <t>Document next steps from Tue demo, update SF opportunity</t>
  </si>
  <si>
    <t>Gwynedd Manufacturing Co</t>
  </si>
  <si>
    <t>TRU - TL1030 ($400K Quoting) — 6+ weeks since last touch — formal quote review, Cody Noll</t>
  </si>
  <si>
    <t>Lockheed Martin</t>
  </si>
  <si>
    <t>HEM - VT120HA-60-CTS ($130K Quoting) — King of Prussia</t>
  </si>
  <si>
    <t>DVM Manufacturing</t>
  </si>
  <si>
    <t>STA AB250-12/AB325-12 ($125K Quoting) + BAY 4x44t brake ($97K Quoting) — Chad Pantelich — Norristown</t>
  </si>
  <si>
    <t>SS Industries</t>
  </si>
  <si>
    <t>Quote 154596 OBI Presses + VEC Cobot ($125K) + EMI Plasma ($105K) + TRU Laser ($605K) — Donald Lozzi (610) 489-5799</t>
  </si>
  <si>
    <t>Wolsky Metal Fabrication</t>
  </si>
  <si>
    <t>VIR LTG ($43K Favorable) + EMI ELSQRD ($147K Quoting) — 5+ weeks since last touch — close Virtek, advance EMI</t>
  </si>
  <si>
    <t>Unique Machine Co.</t>
  </si>
  <si>
    <t>PMI - Bandsaw ($94K Active Project) — Justin Reed (215) 368-8550 — milestone review</t>
  </si>
  <si>
    <t>Craftweld Fabrication (call)</t>
  </si>
  <si>
    <t>FIN - FL4200 ($177K Active) — Glenn Spalding (267) 492-1100 — check project status</t>
  </si>
  <si>
    <t>Gambone Steel Company (call)</t>
  </si>
  <si>
    <t>EMI ELSQ ($140K Active) + ALL Plasma ($221K Quoting) — Ralph Gambone (610) 539-6505</t>
  </si>
  <si>
    <t>Thursday - Upper Bucks / Overdue Triage</t>
  </si>
  <si>
    <t>JKF Technologies LLC</t>
  </si>
  <si>
    <t>Introduce Capability — overdue since 6/8</t>
  </si>
  <si>
    <t>Demco Automation</t>
  </si>
  <si>
    <t>TRUMPF visit — overdue since 5/8 — reschedule or advance opp</t>
  </si>
  <si>
    <t>Haberle Steel, Inc</t>
  </si>
  <si>
    <t>FMB Used EMI ($30K) — confirm decision timeline, request PO while machine available</t>
  </si>
  <si>
    <t>Vulcan Spring &amp; Manufacturing</t>
  </si>
  <si>
    <t>TRU - TLS7000 ($300K Active Project) — 2 months since last touch — check milestones</t>
  </si>
  <si>
    <t>Scaletron Industries</t>
  </si>
  <si>
    <t>TRU TB3170/5170 ($249K) + MAG FL6300RD ($250K) — Ed Dougherty, President (215) 766-2670 — identify decision-maker</t>
  </si>
  <si>
    <t>Bracalente Manufacturing</t>
  </si>
  <si>
    <t>PMI - NC24 LS-Type ($78K Active Project) — Rich Nast, GM / Dave Borish, VP-COO — (215) 536-3077 — check demo status</t>
  </si>
  <si>
    <t>J.I. Landis Welding</t>
  </si>
  <si>
    <t>WIL Knee Mill ($13K) + CNC Lathe ($26K) + Manual Lathe ($45K) — Willis deals, pricing and timeline</t>
  </si>
  <si>
    <t>Szoke Brothers Inc. (call)</t>
  </si>
  <si>
    <t>ALL Plasma ($228K Favorable) — Tom Szoke (610) 760-0588 — overdue since 4/13</t>
  </si>
  <si>
    <t>Friday - Office Day + Q2 Close</t>
  </si>
  <si>
    <t>Priority Calls (AM)</t>
  </si>
  <si>
    <t>Call block 8:30-11:30 — plan in-person route for next week based on results</t>
  </si>
  <si>
    <t>Trumpf N 700 Nibbler (call)</t>
  </si>
  <si>
    <t>Qualify interest and decision timeline</t>
  </si>
  <si>
    <t>J.I. Landis Welding (call)</t>
  </si>
  <si>
    <t>Qualify interest — overdue since 4/7</t>
  </si>
  <si>
    <t>Delaware Valley Steel Co (call)</t>
  </si>
  <si>
    <t>Qualify interest — overdue since 3/31 and 2/15</t>
  </si>
  <si>
    <t>Phoenix Forge (call)</t>
  </si>
  <si>
    <t>AID - NC1 Press ($164K Favorable) — Scott Adam (484) 861-1281 — update NC2 quote, overdue since 10/31/25</t>
  </si>
  <si>
    <t>AW Mercer (call)</t>
  </si>
  <si>
    <t>Haeger new/used — qualify interest and timeline</t>
  </si>
  <si>
    <t>James Cox &amp; Sons (call)</t>
  </si>
  <si>
    <t>TRU TruBend ($140K) + CID Folder (Active) — Joe Carr (570) 342-6327 — push for close timeline</t>
  </si>
  <si>
    <t>Powell's Sales and Service (call)</t>
  </si>
  <si>
    <t>GEK HYD 165S ($302K Active) + STA AB500-12 ($264K Active) — Pat Brennan (570) 587-2743</t>
  </si>
  <si>
    <t>Gottstein Corporation (call)</t>
  </si>
  <si>
    <t>FLO Mach500 ($415K Active) + TRU Laser/Brake/Punch ($280K) — Andy Skuntz (570) 454-7162</t>
  </si>
  <si>
    <t>Kelly Iron Works (call)</t>
  </si>
  <si>
    <t>KAL Saw Drill ($814K Fav) + PRO Beam Line ($544K Fav) + Robotic Plasma ($1.8M) — schedule in-person next week</t>
  </si>
  <si>
    <t>Weekly Strategy Session (1:00-2:30)</t>
  </si>
  <si>
    <t>Pipeline review, update opp files Mon-Thu, build Week 27 routes</t>
  </si>
  <si>
    <t>Follow-Ups &amp; Admin (2:30-4:00)</t>
  </si>
  <si>
    <t>Post-visit emails, update SF, Q2 close notes. Q3 starts July 1 — set quarterly goals.</t>
  </si>
  <si>
    <t>Brey-Krause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</si>
</sst>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charset val="1"/>
    </font>
    <font>
      <b/>
      <sz val="1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79857783745845"/>
        <bgColor rgb="FFB7DEE8"/>
      </patternFill>
    </fill>
    <fill>
      <patternFill patternType="solid">
        <fgColor theme="8" tint="0.59987182226020086"/>
        <bgColor rgb="FFC6D9F1"/>
      </patternFill>
    </fill>
    <fill>
      <patternFill patternType="solid">
        <fgColor theme="9" tint="0.59987182226020086"/>
        <bgColor rgb="FFFFF2CC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3" fillId="2" borderId="0" xfId="0" applyFont="1" applyFill="1" applyAlignment="1">
      <alignment horizontal="left" vertical="top"/>
    </xf>
    <xf numFmtId="0" fontId="5" fillId="2" borderId="0" xfId="0" applyFont="1" applyFill="1"/>
    <xf numFmtId="0" fontId="2" fillId="4" borderId="0" xfId="0" applyFont="1" applyFill="1" applyAlignment="1">
      <alignment horizontal="left" vertical="center" wrapText="1"/>
    </xf>
    <xf numFmtId="14" fontId="3" fillId="2" borderId="0" xfId="0" applyNumberFormat="1" applyFont="1" applyFill="1" applyAlignment="1">
      <alignment horizontal="center" vertical="top"/>
    </xf>
    <xf numFmtId="0" fontId="6" fillId="0" borderId="0" xfId="0" applyFont="1" applyAlignment="1">
      <alignment vertical="top" wrapText="1"/>
    </xf>
    <xf numFmtId="0" fontId="2" fillId="4" borderId="0" xfId="0" applyFont="1" applyFill="1" applyAlignment="1">
      <alignment horizontal="left" vertical="center" wrapText="1"/>
    </xf>
    <xf numFmtId="0" fontId="0" fillId="0" borderId="0" xfId="0"/>
    <xf numFmtId="0" fontId="3" fillId="3" borderId="0" xfId="0" applyFont="1" applyFill="1" applyAlignment="1">
      <alignment vertical="center" wrapText="1"/>
    </xf>
    <xf numFmtId="0" fontId="7" fillId="2" borderId="0" xfId="0" applyFont="1" applyFill="1" applyAlignment="1">
      <alignment vertical="top"/>
    </xf>
    <xf numFmtId="14" fontId="7" fillId="2" borderId="0" xfId="0" applyNumberFormat="1" applyFont="1" applyFill="1" applyAlignment="1">
      <alignment vertical="top"/>
    </xf>
    <xf numFmtId="0" fontId="6" fillId="0" borderId="0" xfId="0" applyFont="1" applyAlignment="1">
      <alignment vertical="top"/>
    </xf>
    <xf numFmtId="0" fontId="6" fillId="5" borderId="0" xfId="0" applyFont="1" applyFill="1" applyAlignment="1">
      <alignment vertical="top"/>
    </xf>
    <xf numFmtId="164" fontId="6" fillId="5" borderId="0" xfId="0" applyNumberFormat="1" applyFont="1" applyFill="1" applyAlignment="1">
      <alignment vertical="top"/>
    </xf>
    <xf numFmtId="164" fontId="6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6" fillId="6" borderId="0" xfId="0" applyFont="1" applyFill="1" applyAlignment="1">
      <alignment vertical="top"/>
    </xf>
    <xf numFmtId="164" fontId="6" fillId="6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zoomScaleNormal="100" workbookViewId="0">
      <selection activeCell="C34" sqref="C34"/>
    </sheetView>
  </sheetViews>
  <sheetFormatPr defaultColWidth="8.7109375" defaultRowHeight="15" x14ac:dyDescent="0.25"/>
  <cols>
    <col min="1" max="1" width="37" bestFit="1" customWidth="1"/>
    <col min="2" max="2" width="13.5703125" customWidth="1"/>
    <col min="3" max="3" width="75" customWidth="1"/>
  </cols>
  <sheetData>
    <row r="1" spans="1:3" x14ac:dyDescent="0.25">
      <c r="A1" s="4" t="s">
        <v>0</v>
      </c>
      <c r="B1" s="7">
        <v>46195</v>
      </c>
      <c r="C1" s="5"/>
    </row>
    <row r="2" spans="1:3" ht="72" customHeight="1" x14ac:dyDescent="0.25">
      <c r="A2" s="1" t="s">
        <v>1</v>
      </c>
      <c r="B2" s="11" t="s">
        <v>2</v>
      </c>
      <c r="C2" s="10"/>
    </row>
    <row r="3" spans="1:3" x14ac:dyDescent="0.25">
      <c r="A3" s="6" t="s">
        <v>3</v>
      </c>
      <c r="B3" s="9" t="s">
        <v>4</v>
      </c>
      <c r="C3" s="10"/>
    </row>
    <row r="4" spans="1:3" x14ac:dyDescent="0.25">
      <c r="A4" s="2" t="s">
        <v>5</v>
      </c>
      <c r="B4" s="3" t="s">
        <v>6</v>
      </c>
      <c r="C4" s="2" t="s">
        <v>7</v>
      </c>
    </row>
    <row r="5" spans="1:3" x14ac:dyDescent="0.25">
      <c r="A5" s="8"/>
      <c r="B5" s="8"/>
      <c r="C5" s="8"/>
    </row>
    <row r="6" spans="1:3" x14ac:dyDescent="0.25">
      <c r="A6" s="12" t="s">
        <v>8</v>
      </c>
      <c r="B6" s="13">
        <f>B1</f>
        <v>46195</v>
      </c>
      <c r="C6" s="12"/>
    </row>
    <row r="7" spans="1:3" x14ac:dyDescent="0.25">
      <c r="A7" s="14" t="s">
        <v>9</v>
      </c>
      <c r="B7" s="14"/>
      <c r="C7" s="14" t="s">
        <v>10</v>
      </c>
    </row>
    <row r="8" spans="1:3" x14ac:dyDescent="0.25">
      <c r="A8" s="14" t="s">
        <v>11</v>
      </c>
      <c r="B8" s="14"/>
      <c r="C8" s="14" t="s">
        <v>12</v>
      </c>
    </row>
    <row r="9" spans="1:3" x14ac:dyDescent="0.25">
      <c r="A9" s="15" t="s">
        <v>13</v>
      </c>
      <c r="B9" s="15"/>
      <c r="C9" s="15" t="s">
        <v>14</v>
      </c>
    </row>
    <row r="10" spans="1:3" x14ac:dyDescent="0.25">
      <c r="A10" s="15" t="s">
        <v>15</v>
      </c>
      <c r="B10" s="15"/>
      <c r="C10" s="15" t="s">
        <v>16</v>
      </c>
    </row>
    <row r="11" spans="1:3" x14ac:dyDescent="0.25">
      <c r="A11" s="15" t="s">
        <v>17</v>
      </c>
      <c r="B11" s="15"/>
      <c r="C11" s="15" t="s">
        <v>18</v>
      </c>
    </row>
    <row r="12" spans="1:3" x14ac:dyDescent="0.25">
      <c r="A12" s="18" t="s">
        <v>104</v>
      </c>
      <c r="B12" s="14"/>
      <c r="C12" s="14" t="s">
        <v>19</v>
      </c>
    </row>
    <row r="13" spans="1:3" x14ac:dyDescent="0.25">
      <c r="A13" s="15" t="s">
        <v>20</v>
      </c>
      <c r="B13" s="15"/>
      <c r="C13" s="15" t="s">
        <v>21</v>
      </c>
    </row>
    <row r="14" spans="1:3" x14ac:dyDescent="0.25">
      <c r="A14" s="14" t="s">
        <v>22</v>
      </c>
      <c r="B14" s="14"/>
      <c r="C14" s="14" t="s">
        <v>23</v>
      </c>
    </row>
    <row r="15" spans="1:3" x14ac:dyDescent="0.25">
      <c r="A15" s="12" t="s">
        <v>24</v>
      </c>
      <c r="B15" s="13">
        <f>B1+1</f>
        <v>46196</v>
      </c>
      <c r="C15" s="12"/>
    </row>
    <row r="16" spans="1:3" x14ac:dyDescent="0.25">
      <c r="A16" s="15" t="s">
        <v>25</v>
      </c>
      <c r="B16" s="15"/>
      <c r="C16" s="15" t="s">
        <v>26</v>
      </c>
    </row>
    <row r="17" spans="1:3" x14ac:dyDescent="0.25">
      <c r="A17" s="15" t="s">
        <v>27</v>
      </c>
      <c r="B17" s="15"/>
      <c r="C17" s="15" t="s">
        <v>28</v>
      </c>
    </row>
    <row r="18" spans="1:3" x14ac:dyDescent="0.25">
      <c r="A18" s="15" t="s">
        <v>29</v>
      </c>
      <c r="B18" s="15"/>
      <c r="C18" s="15" t="s">
        <v>30</v>
      </c>
    </row>
    <row r="19" spans="1:3" x14ac:dyDescent="0.25">
      <c r="A19" s="15" t="s">
        <v>31</v>
      </c>
      <c r="B19" s="15"/>
      <c r="C19" s="15" t="s">
        <v>32</v>
      </c>
    </row>
    <row r="20" spans="1:3" x14ac:dyDescent="0.25">
      <c r="A20" s="15" t="s">
        <v>33</v>
      </c>
      <c r="B20" s="15"/>
      <c r="C20" s="15" t="s">
        <v>34</v>
      </c>
    </row>
    <row r="21" spans="1:3" x14ac:dyDescent="0.25">
      <c r="A21" s="15" t="s">
        <v>35</v>
      </c>
      <c r="B21" s="15"/>
      <c r="C21" s="15" t="s">
        <v>36</v>
      </c>
    </row>
    <row r="22" spans="1:3" x14ac:dyDescent="0.25">
      <c r="A22" s="19" t="s">
        <v>37</v>
      </c>
      <c r="B22" s="20"/>
      <c r="C22" s="19" t="s">
        <v>38</v>
      </c>
    </row>
    <row r="23" spans="1:3" x14ac:dyDescent="0.25">
      <c r="A23" s="15" t="s">
        <v>39</v>
      </c>
      <c r="B23" s="15"/>
      <c r="C23" s="15" t="s">
        <v>40</v>
      </c>
    </row>
    <row r="24" spans="1:3" x14ac:dyDescent="0.25">
      <c r="A24" s="14" t="s">
        <v>41</v>
      </c>
      <c r="B24" s="14"/>
      <c r="C24" s="14" t="s">
        <v>42</v>
      </c>
    </row>
    <row r="25" spans="1:3" x14ac:dyDescent="0.25">
      <c r="A25" s="14"/>
      <c r="B25" s="14"/>
      <c r="C25" s="14"/>
    </row>
    <row r="26" spans="1:3" x14ac:dyDescent="0.25">
      <c r="A26" s="12" t="s">
        <v>43</v>
      </c>
      <c r="B26" s="13">
        <f>B1+2</f>
        <v>46197</v>
      </c>
      <c r="C26" s="12"/>
    </row>
    <row r="27" spans="1:3" x14ac:dyDescent="0.25">
      <c r="A27" s="14" t="s">
        <v>44</v>
      </c>
      <c r="B27" s="14"/>
      <c r="C27" s="14" t="s">
        <v>45</v>
      </c>
    </row>
    <row r="28" spans="1:3" x14ac:dyDescent="0.25">
      <c r="A28" s="15" t="s">
        <v>46</v>
      </c>
      <c r="B28" s="15"/>
      <c r="C28" s="15" t="s">
        <v>47</v>
      </c>
    </row>
    <row r="29" spans="1:3" x14ac:dyDescent="0.25">
      <c r="A29" s="15" t="s">
        <v>48</v>
      </c>
      <c r="B29" s="15"/>
      <c r="C29" s="15" t="s">
        <v>49</v>
      </c>
    </row>
    <row r="30" spans="1:3" x14ac:dyDescent="0.25">
      <c r="A30" s="15" t="s">
        <v>50</v>
      </c>
      <c r="B30" s="16"/>
      <c r="C30" s="15" t="s">
        <v>51</v>
      </c>
    </row>
    <row r="31" spans="1:3" x14ac:dyDescent="0.25">
      <c r="A31" s="15" t="s">
        <v>52</v>
      </c>
      <c r="B31" s="15"/>
      <c r="C31" s="15" t="s">
        <v>53</v>
      </c>
    </row>
    <row r="32" spans="1:3" x14ac:dyDescent="0.25">
      <c r="A32" s="15" t="s">
        <v>54</v>
      </c>
      <c r="B32" s="15"/>
      <c r="C32" s="15" t="s">
        <v>55</v>
      </c>
    </row>
    <row r="33" spans="1:3" x14ac:dyDescent="0.25">
      <c r="A33" s="15" t="s">
        <v>56</v>
      </c>
      <c r="B33" s="15"/>
      <c r="C33" s="15" t="s">
        <v>57</v>
      </c>
    </row>
    <row r="34" spans="1:3" x14ac:dyDescent="0.25">
      <c r="A34" s="14" t="s">
        <v>58</v>
      </c>
      <c r="B34" s="14"/>
      <c r="C34" s="14" t="s">
        <v>59</v>
      </c>
    </row>
    <row r="35" spans="1:3" x14ac:dyDescent="0.25">
      <c r="A35" s="15" t="s">
        <v>60</v>
      </c>
      <c r="B35" s="15"/>
      <c r="C35" s="15" t="s">
        <v>61</v>
      </c>
    </row>
    <row r="36" spans="1:3" x14ac:dyDescent="0.25">
      <c r="A36" s="12" t="s">
        <v>62</v>
      </c>
      <c r="B36" s="13">
        <f>B1+3</f>
        <v>46198</v>
      </c>
      <c r="C36" s="12"/>
    </row>
    <row r="37" spans="1:3" x14ac:dyDescent="0.25">
      <c r="A37" s="14" t="s">
        <v>63</v>
      </c>
      <c r="B37" s="17"/>
      <c r="C37" s="14" t="s">
        <v>64</v>
      </c>
    </row>
    <row r="38" spans="1:3" x14ac:dyDescent="0.25">
      <c r="A38" s="15" t="s">
        <v>65</v>
      </c>
      <c r="B38" s="15"/>
      <c r="C38" s="15" t="s">
        <v>66</v>
      </c>
    </row>
    <row r="39" spans="1:3" x14ac:dyDescent="0.25">
      <c r="A39" s="15" t="s">
        <v>67</v>
      </c>
      <c r="B39" s="15"/>
      <c r="C39" s="15" t="s">
        <v>68</v>
      </c>
    </row>
    <row r="40" spans="1:3" x14ac:dyDescent="0.25">
      <c r="A40" s="15" t="s">
        <v>69</v>
      </c>
      <c r="B40" s="15"/>
      <c r="C40" s="15" t="s">
        <v>70</v>
      </c>
    </row>
    <row r="41" spans="1:3" x14ac:dyDescent="0.25">
      <c r="A41" s="15" t="s">
        <v>71</v>
      </c>
      <c r="B41" s="15"/>
      <c r="C41" s="15" t="s">
        <v>72</v>
      </c>
    </row>
    <row r="42" spans="1:3" x14ac:dyDescent="0.25">
      <c r="A42" s="15" t="s">
        <v>73</v>
      </c>
      <c r="B42" s="15"/>
      <c r="C42" s="15" t="s">
        <v>74</v>
      </c>
    </row>
    <row r="43" spans="1:3" x14ac:dyDescent="0.25">
      <c r="A43" s="14" t="s">
        <v>75</v>
      </c>
      <c r="B43" s="14"/>
      <c r="C43" s="14" t="s">
        <v>76</v>
      </c>
    </row>
    <row r="44" spans="1:3" x14ac:dyDescent="0.25">
      <c r="A44" s="15" t="s">
        <v>77</v>
      </c>
      <c r="B44" s="15"/>
      <c r="C44" s="15" t="s">
        <v>78</v>
      </c>
    </row>
    <row r="45" spans="1:3" x14ac:dyDescent="0.25">
      <c r="A45" s="12" t="s">
        <v>79</v>
      </c>
      <c r="B45" s="13">
        <f>B1+4</f>
        <v>46199</v>
      </c>
      <c r="C45" s="12"/>
    </row>
    <row r="46" spans="1:3" x14ac:dyDescent="0.25">
      <c r="A46" s="14" t="s">
        <v>80</v>
      </c>
      <c r="B46" s="14"/>
      <c r="C46" s="14" t="s">
        <v>81</v>
      </c>
    </row>
    <row r="47" spans="1:3" x14ac:dyDescent="0.25">
      <c r="A47" s="15" t="s">
        <v>82</v>
      </c>
      <c r="B47" s="15"/>
      <c r="C47" s="15" t="s">
        <v>83</v>
      </c>
    </row>
    <row r="48" spans="1:3" x14ac:dyDescent="0.25">
      <c r="A48" s="14" t="s">
        <v>84</v>
      </c>
      <c r="B48" s="14"/>
      <c r="C48" s="14" t="s">
        <v>85</v>
      </c>
    </row>
    <row r="49" spans="1:3" x14ac:dyDescent="0.25">
      <c r="A49" s="14" t="s">
        <v>86</v>
      </c>
      <c r="B49" s="14"/>
      <c r="C49" s="14" t="s">
        <v>87</v>
      </c>
    </row>
    <row r="50" spans="1:3" x14ac:dyDescent="0.25">
      <c r="A50" s="14" t="s">
        <v>88</v>
      </c>
      <c r="B50" s="14"/>
      <c r="C50" s="14" t="s">
        <v>89</v>
      </c>
    </row>
    <row r="51" spans="1:3" x14ac:dyDescent="0.25">
      <c r="A51" s="14" t="s">
        <v>90</v>
      </c>
      <c r="B51" s="14"/>
      <c r="C51" s="14" t="s">
        <v>91</v>
      </c>
    </row>
    <row r="52" spans="1:3" x14ac:dyDescent="0.25">
      <c r="A52" s="15" t="s">
        <v>92</v>
      </c>
      <c r="B52" s="15"/>
      <c r="C52" s="15" t="s">
        <v>93</v>
      </c>
    </row>
    <row r="53" spans="1:3" x14ac:dyDescent="0.25">
      <c r="A53" s="15" t="s">
        <v>94</v>
      </c>
      <c r="B53" s="15"/>
      <c r="C53" s="15" t="s">
        <v>95</v>
      </c>
    </row>
    <row r="54" spans="1:3" x14ac:dyDescent="0.25">
      <c r="A54" s="15" t="s">
        <v>96</v>
      </c>
      <c r="B54" s="15"/>
      <c r="C54" s="15" t="s">
        <v>97</v>
      </c>
    </row>
    <row r="55" spans="1:3" x14ac:dyDescent="0.25">
      <c r="A55" s="15" t="s">
        <v>98</v>
      </c>
      <c r="B55" s="15"/>
      <c r="C55" s="15" t="s">
        <v>99</v>
      </c>
    </row>
    <row r="56" spans="1:3" x14ac:dyDescent="0.25">
      <c r="A56" s="14" t="s">
        <v>100</v>
      </c>
      <c r="B56" s="14"/>
      <c r="C56" s="14" t="s">
        <v>101</v>
      </c>
    </row>
    <row r="57" spans="1:3" x14ac:dyDescent="0.25">
      <c r="A57" s="14" t="s">
        <v>102</v>
      </c>
      <c r="B57" s="14"/>
      <c r="C57" s="14" t="s">
        <v>103</v>
      </c>
    </row>
    <row r="58" spans="1:3" x14ac:dyDescent="0.25">
      <c r="A58" s="8"/>
      <c r="B58" s="8"/>
      <c r="C58" s="8"/>
    </row>
    <row r="59" spans="1:3" x14ac:dyDescent="0.25">
      <c r="A59" s="8"/>
      <c r="B59" s="8"/>
      <c r="C59" s="8"/>
    </row>
    <row r="60" spans="1:3" x14ac:dyDescent="0.25">
      <c r="A60" s="8"/>
      <c r="B60" s="8"/>
      <c r="C60" s="8"/>
    </row>
    <row r="61" spans="1:3" x14ac:dyDescent="0.25">
      <c r="A61" s="8"/>
      <c r="B61" s="8"/>
      <c r="C61" s="8"/>
    </row>
    <row r="62" spans="1:3" x14ac:dyDescent="0.25">
      <c r="A62" s="8"/>
      <c r="B62" s="8"/>
      <c r="C62" s="8"/>
    </row>
    <row r="63" spans="1:3" x14ac:dyDescent="0.25">
      <c r="A63" s="8"/>
      <c r="B63" s="8"/>
      <c r="C63" s="8"/>
    </row>
    <row r="64" spans="1:3" x14ac:dyDescent="0.25">
      <c r="A64" s="8"/>
      <c r="B64" s="8"/>
      <c r="C64" s="8"/>
    </row>
  </sheetData>
  <mergeCells count="2">
    <mergeCell ref="B3:C3"/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26 Itinerary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Barsanti</cp:lastModifiedBy>
  <cp:revision>0</cp:revision>
  <dcterms:created xsi:type="dcterms:W3CDTF">2026-06-15T03:16:59Z</dcterms:created>
  <dcterms:modified xsi:type="dcterms:W3CDTF">2026-06-21T22:28:20Z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0x010100AD68E92908C16F46B146892DFB70CF0E</vt:lpwstr>
  </property>
</Properties>
</file>