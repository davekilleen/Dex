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ris\Documents\GitHub\dex\Planning\"/>
    </mc:Choice>
  </mc:AlternateContent>
  <xr:revisionPtr revIDLastSave="0" documentId="13_ncr:1_{7D1CE150-6EA2-4AED-A869-5912D9EB094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eek 26 Itiner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33" i="1"/>
  <c r="B23" i="1"/>
  <c r="B15" i="1"/>
  <c r="B6" i="1"/>
</calcChain>
</file>

<file path=xl/sharedStrings.xml><?xml version="1.0" encoding="utf-8"?>
<sst xmlns="http://schemas.openxmlformats.org/spreadsheetml/2006/main" count="62" uniqueCount="61">
  <si>
    <t>Itinerary Week of:</t>
  </si>
  <si>
    <t>Highlight the accounts you will promote our KPI - Vendors to this week.</t>
  </si>
  <si>
    <t>AGT Robotics, TRUMPF - Vendor, KALTENBACH North America Inc., Mid Atlantic Global, Pat Mooney Saws, FAB-LINE MACHINERY LLC (Baykal), Cidan Machinery, Flow Waterjet, Vectis Automation, Electro-Mechanical Integrators Inc. (EMI), ALLtra Corp., Geka USA, HE&amp;M Saw, Mid Atlantic Machinery Automation, Standard Industrial Corp.</t>
  </si>
  <si>
    <t>Highlight (2) New Accounts to visit</t>
  </si>
  <si>
    <t>Day:</t>
  </si>
  <si>
    <t>Comment:</t>
  </si>
  <si>
    <t>Details:</t>
  </si>
  <si>
    <t>Monday - Lehigh Valley</t>
  </si>
  <si>
    <t>MAM Huddle</t>
  </si>
  <si>
    <t>Weekly team huddle</t>
  </si>
  <si>
    <t>Human Active Technology</t>
  </si>
  <si>
    <t>TRU - Panel Bender 5030/TM3000/TB1000/TruArc Weld ($2.5M, 4 deals Favorable) - Jim Allen - (800) 524-2744 - Easton, PA - assess timeline, multithread contacts</t>
  </si>
  <si>
    <t>ASGCO Mfg Inc</t>
  </si>
  <si>
    <t>Myers Emergency Power Systems</t>
  </si>
  <si>
    <t>CID - CNC Folder ($526K Negotiation) + TRU TruBend ($117K Quoting) - Aaron Fry, Mfg Engineering - (610) 737-9348 - Bethlehem, PA - push demo date, advance CID to close</t>
  </si>
  <si>
    <t>All Steel Service Inc</t>
  </si>
  <si>
    <t>TRU - TruLaser 1000/3000 6kW-9kW ($1.03M Negotiation) - Jim Yandrofski - (610) 770-6627 - Allentown, PA - confirm pricing, push for PO</t>
  </si>
  <si>
    <t>Hale Trailer Brake &amp; Wheel</t>
  </si>
  <si>
    <t>STA - Press Brake ($127K Favorable) - Bryan Crist, GM - (610) 395-0371 - Allentown, PA</t>
  </si>
  <si>
    <t>HT Lyons</t>
  </si>
  <si>
    <t>Mack Truck, Inc</t>
  </si>
  <si>
    <t>TRU - Laser ($495K Quoting) - Matt Stamm, Supervisor / Bill De Mauriac - (610) 966-8838 - Macungie, PA</t>
  </si>
  <si>
    <t>Tuesday - Scranton / NEPA</t>
  </si>
  <si>
    <t>RJR Fabrication</t>
  </si>
  <si>
    <t>TRU - TruBend 3000/5000/7000 ($295K Negotiation) - (570) 319-9880 - Clark Summit, PA - confirm final pricing, push for close</t>
  </si>
  <si>
    <t>Powell's Sales and Service</t>
  </si>
  <si>
    <t>GEK - HYD 165S Semi Paxy 4000 ($302K Active) + STA AB500-12 ($264K Active) - Pat Brennan - (570) 587-2743 - Scranton area - check both project statuses</t>
  </si>
  <si>
    <t>James Cox and Sons</t>
  </si>
  <si>
    <t>TRU - TruBend ($140K) + CID Folder (Active) - Joe Carr - (570) 342-6327 - Scranton area - push for close timeline on brake and folder</t>
  </si>
  <si>
    <t>Production Systems Automation (PSA)</t>
  </si>
  <si>
    <t>TRU - TL1030 ($505K Active Project) - Mike Duffy, Owner / Ron Pesotini, Sales Mgr - (570) 602-4200 - Duryea, PA - check milestones, advance next phase</t>
  </si>
  <si>
    <t>Wyman Gordon - Mountain Top</t>
  </si>
  <si>
    <t>EMI - Introduce Capability - Ronald Petrovich - (570) 970-4110 - Mountain Top, PA - overdue since 4/28, introduce EMI ELSQRD, qualify need</t>
  </si>
  <si>
    <t>Kelly Iron Works, Inc.</t>
  </si>
  <si>
    <t>KAL Beam Plasma ($1.29M Quoting) + KAL Saw Drill ($814K Favorable) + AGT Robotic Welder ($1.2M Active) + PRO Beam Line ($482K Fav) - (570) 455-4545 - Hazleton, PA - schedule close plan</t>
  </si>
  <si>
    <t>Gottstein Corporation</t>
  </si>
  <si>
    <t>FLO - Mach500 ($415K Active) + TRU Laser/Brake/Punch ($280K Quoting) - Andy Skuntz - (570) 454-7162 - Hazleton, PA - check waterjet project milestones</t>
  </si>
  <si>
    <t>Wednesday - Montgomery County</t>
  </si>
  <si>
    <t>Chown's Fabrication &amp; Rigging</t>
  </si>
  <si>
    <t>DVM Manufacturing</t>
  </si>
  <si>
    <t>STA AB250-12/AB325-12 ($125K Quoting) + BAY 4x44t Brake ($97K Quoting) - Chad Pantelich - Norristown, PA - advance brake quote</t>
  </si>
  <si>
    <t>Gambone Steel Company</t>
  </si>
  <si>
    <t>ALL - US-612 Plasma ($221K Quoting) + EMI ELSQ ($140K Active) - Ralph Gambone - (610) 539-6505 - Norristown, PA - advance plasma, check EMI status</t>
  </si>
  <si>
    <t>SS Industries</t>
  </si>
  <si>
    <t>TRU - Laser ($605K Quoting) + ALL Plasma ($220K Discovery) + VEC Cobot ($125K) + 8x100T Brake ($172K Quoting) - Donald Lozzi - (610) 489-5799 - multiline review</t>
  </si>
  <si>
    <t>Gwynedd Manufacturing Co</t>
  </si>
  <si>
    <t>Levan Associates Inc</t>
  </si>
  <si>
    <t>AGT - BeamMaster ($413K Favorable) - David Mushko - (610) 967-6843 - Pottstown area - advance to close plan, set demo date</t>
  </si>
  <si>
    <t>Lockheed Martin</t>
  </si>
  <si>
    <t>HEM - VT120HA-60-CTS ($130K Quoting) - King of Prussia, PA - requalify champion, check Q3 capital approval</t>
  </si>
  <si>
    <t>Wolsky Metal Fabrication</t>
  </si>
  <si>
    <t>Craftweld Fabrication (call)</t>
  </si>
  <si>
    <t>FIN - FL4200 ($177K Active Project) - Glenn Spalding - (267) 492-1100 - Montgomeryville, PA - check project status, identify next opportunity</t>
  </si>
  <si>
    <t>TRU - TL3030 Laser ($755K Quoting) - Ron DePack, Operations Manager/GM - (610) 821-0210 - Nazareth, PA - qualify timeline and champion</t>
  </si>
  <si>
    <t>TRU/VEC - TruArc Weld/Vectis ($150K Discovery) - requalify robotic welding interest</t>
  </si>
  <si>
    <t>PRO - PCR42 ($591K Discovery) + GEK - GR150 ($235K Quoting) + EMI - ELSQRD ($141K Quoting) - Kevin Chowns, President - (610) 584-0240 - Skippack, PA - advance all 3 opps</t>
  </si>
  <si>
    <t>TRU - TL1030 ($400K Quoting) - Cody Noll - Gwynedd, PA - updated TRUMPF quote, review timeline</t>
  </si>
  <si>
    <t>VIR - LTG ($43K Favorable) + EMI - ELSQRD/TPC24 ($147K Quoting) - 3+ weeks since last touch - close Virtek, advance EMI</t>
  </si>
  <si>
    <t>Holiday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</si>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</sst>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79857783745845"/>
        <bgColor rgb="FFB7DEE8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9" tint="0.59987182226020086"/>
        <bgColor rgb="FFFFF2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5" fillId="2" borderId="0" xfId="0" applyFont="1" applyFill="1"/>
    <xf numFmtId="14" fontId="3" fillId="2" borderId="0" xfId="0" applyNumberFormat="1" applyFont="1" applyFill="1" applyAlignment="1">
      <alignment horizontal="center" vertical="top"/>
    </xf>
    <xf numFmtId="0" fontId="6" fillId="0" borderId="0" xfId="0" applyFont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7" fillId="2" borderId="0" xfId="0" applyFont="1" applyFill="1" applyAlignment="1">
      <alignment vertical="top"/>
    </xf>
    <xf numFmtId="14" fontId="7" fillId="2" borderId="0" xfId="0" applyNumberFormat="1" applyFont="1" applyFill="1" applyAlignment="1">
      <alignment vertical="top"/>
    </xf>
    <xf numFmtId="0" fontId="8" fillId="0" borderId="0" xfId="0" applyFont="1" applyAlignment="1">
      <alignment vertical="top"/>
    </xf>
    <xf numFmtId="0" fontId="8" fillId="5" borderId="0" xfId="0" applyFont="1" applyFill="1" applyAlignment="1">
      <alignment vertical="top"/>
    </xf>
    <xf numFmtId="14" fontId="8" fillId="5" borderId="0" xfId="0" applyNumberFormat="1" applyFont="1" applyFill="1" applyAlignment="1">
      <alignment vertical="top"/>
    </xf>
    <xf numFmtId="14" fontId="8" fillId="0" borderId="0" xfId="0" applyNumberFormat="1" applyFont="1" applyAlignment="1">
      <alignment vertical="top"/>
    </xf>
    <xf numFmtId="0" fontId="4" fillId="5" borderId="0" xfId="0" applyFont="1" applyFill="1" applyAlignment="1">
      <alignment vertical="top"/>
    </xf>
    <xf numFmtId="14" fontId="1" fillId="0" borderId="0" xfId="0" applyNumberFormat="1" applyFont="1" applyAlignment="1">
      <alignment horizontal="center" vertical="top"/>
    </xf>
    <xf numFmtId="14" fontId="6" fillId="0" borderId="0" xfId="0" applyNumberFormat="1" applyFont="1" applyAlignment="1">
      <alignment vertical="top" wrapText="1"/>
    </xf>
    <xf numFmtId="14" fontId="0" fillId="0" borderId="0" xfId="0" applyNumberFormat="1"/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top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zoomScaleNormal="100" workbookViewId="0">
      <selection activeCell="E51" sqref="E51"/>
    </sheetView>
  </sheetViews>
  <sheetFormatPr defaultColWidth="8.7109375" defaultRowHeight="15" x14ac:dyDescent="0.25"/>
  <cols>
    <col min="1" max="1" width="37" style="8" bestFit="1" customWidth="1"/>
    <col min="2" max="2" width="13.42578125" style="18" customWidth="1"/>
    <col min="3" max="3" width="75" style="8" customWidth="1"/>
  </cols>
  <sheetData>
    <row r="1" spans="1:3" x14ac:dyDescent="0.25">
      <c r="A1" s="3" t="s">
        <v>0</v>
      </c>
      <c r="B1" s="5">
        <v>46202</v>
      </c>
      <c r="C1" s="4"/>
    </row>
    <row r="2" spans="1:3" ht="72" customHeight="1" x14ac:dyDescent="0.25">
      <c r="A2" s="1" t="s">
        <v>1</v>
      </c>
      <c r="B2" s="21" t="s">
        <v>2</v>
      </c>
      <c r="C2" s="20"/>
    </row>
    <row r="3" spans="1:3" x14ac:dyDescent="0.25">
      <c r="A3" s="7" t="s">
        <v>3</v>
      </c>
      <c r="B3" s="19"/>
      <c r="C3" s="20"/>
    </row>
    <row r="4" spans="1:3" x14ac:dyDescent="0.25">
      <c r="A4" s="2" t="s">
        <v>4</v>
      </c>
      <c r="B4" s="16" t="s">
        <v>5</v>
      </c>
      <c r="C4" s="2" t="s">
        <v>6</v>
      </c>
    </row>
    <row r="5" spans="1:3" x14ac:dyDescent="0.25">
      <c r="A5" s="6"/>
      <c r="B5" s="17"/>
      <c r="C5" s="6"/>
    </row>
    <row r="6" spans="1:3" x14ac:dyDescent="0.25">
      <c r="A6" s="9" t="s">
        <v>7</v>
      </c>
      <c r="B6" s="10">
        <f>B1</f>
        <v>46202</v>
      </c>
      <c r="C6" s="9"/>
    </row>
    <row r="7" spans="1:3" x14ac:dyDescent="0.25">
      <c r="A7" s="11" t="s">
        <v>8</v>
      </c>
      <c r="B7" s="14"/>
      <c r="C7" s="11" t="s">
        <v>9</v>
      </c>
    </row>
    <row r="8" spans="1:3" x14ac:dyDescent="0.25">
      <c r="A8" s="12" t="s">
        <v>10</v>
      </c>
      <c r="B8" s="13"/>
      <c r="C8" s="12" t="s">
        <v>11</v>
      </c>
    </row>
    <row r="9" spans="1:3" x14ac:dyDescent="0.25">
      <c r="A9" s="12" t="s">
        <v>12</v>
      </c>
      <c r="B9" s="13"/>
      <c r="C9" s="15" t="s">
        <v>53</v>
      </c>
    </row>
    <row r="10" spans="1:3" x14ac:dyDescent="0.25">
      <c r="A10" s="12" t="s">
        <v>13</v>
      </c>
      <c r="B10" s="13"/>
      <c r="C10" s="12" t="s">
        <v>14</v>
      </c>
    </row>
    <row r="11" spans="1:3" x14ac:dyDescent="0.25">
      <c r="A11" s="12" t="s">
        <v>15</v>
      </c>
      <c r="B11" s="13"/>
      <c r="C11" s="12" t="s">
        <v>16</v>
      </c>
    </row>
    <row r="12" spans="1:3" x14ac:dyDescent="0.25">
      <c r="A12" s="12" t="s">
        <v>17</v>
      </c>
      <c r="B12" s="13"/>
      <c r="C12" s="12" t="s">
        <v>18</v>
      </c>
    </row>
    <row r="13" spans="1:3" x14ac:dyDescent="0.25">
      <c r="A13" s="12" t="s">
        <v>19</v>
      </c>
      <c r="B13" s="13"/>
      <c r="C13" s="15" t="s">
        <v>54</v>
      </c>
    </row>
    <row r="14" spans="1:3" x14ac:dyDescent="0.25">
      <c r="A14" s="12" t="s">
        <v>20</v>
      </c>
      <c r="B14" s="13"/>
      <c r="C14" s="12" t="s">
        <v>21</v>
      </c>
    </row>
    <row r="15" spans="1:3" x14ac:dyDescent="0.25">
      <c r="A15" s="9" t="s">
        <v>22</v>
      </c>
      <c r="B15" s="10">
        <f>B1+1</f>
        <v>46203</v>
      </c>
      <c r="C15" s="9"/>
    </row>
    <row r="16" spans="1:3" x14ac:dyDescent="0.25">
      <c r="A16" s="12" t="s">
        <v>23</v>
      </c>
      <c r="B16" s="13"/>
      <c r="C16" s="12" t="s">
        <v>24</v>
      </c>
    </row>
    <row r="17" spans="1:3" x14ac:dyDescent="0.25">
      <c r="A17" s="12" t="s">
        <v>25</v>
      </c>
      <c r="B17" s="13"/>
      <c r="C17" s="12" t="s">
        <v>26</v>
      </c>
    </row>
    <row r="18" spans="1:3" x14ac:dyDescent="0.25">
      <c r="A18" s="12" t="s">
        <v>27</v>
      </c>
      <c r="B18" s="13"/>
      <c r="C18" s="12" t="s">
        <v>28</v>
      </c>
    </row>
    <row r="19" spans="1:3" x14ac:dyDescent="0.25">
      <c r="A19" s="12" t="s">
        <v>29</v>
      </c>
      <c r="B19" s="13"/>
      <c r="C19" s="12" t="s">
        <v>30</v>
      </c>
    </row>
    <row r="20" spans="1:3" x14ac:dyDescent="0.25">
      <c r="A20" s="12" t="s">
        <v>31</v>
      </c>
      <c r="B20" s="13"/>
      <c r="C20" s="12" t="s">
        <v>32</v>
      </c>
    </row>
    <row r="21" spans="1:3" x14ac:dyDescent="0.25">
      <c r="A21" s="12" t="s">
        <v>33</v>
      </c>
      <c r="B21" s="13"/>
      <c r="C21" s="12" t="s">
        <v>34</v>
      </c>
    </row>
    <row r="22" spans="1:3" x14ac:dyDescent="0.25">
      <c r="A22" s="12" t="s">
        <v>35</v>
      </c>
      <c r="B22" s="13"/>
      <c r="C22" s="12" t="s">
        <v>36</v>
      </c>
    </row>
    <row r="23" spans="1:3" x14ac:dyDescent="0.25">
      <c r="A23" s="9" t="s">
        <v>37</v>
      </c>
      <c r="B23" s="10">
        <f>B1+2</f>
        <v>46204</v>
      </c>
      <c r="C23" s="9"/>
    </row>
    <row r="24" spans="1:3" x14ac:dyDescent="0.25">
      <c r="A24" s="12" t="s">
        <v>38</v>
      </c>
      <c r="B24" s="13"/>
      <c r="C24" s="15" t="s">
        <v>55</v>
      </c>
    </row>
    <row r="25" spans="1:3" x14ac:dyDescent="0.25">
      <c r="A25" s="12" t="s">
        <v>39</v>
      </c>
      <c r="B25" s="13"/>
      <c r="C25" s="12" t="s">
        <v>40</v>
      </c>
    </row>
    <row r="26" spans="1:3" x14ac:dyDescent="0.25">
      <c r="A26" s="12" t="s">
        <v>41</v>
      </c>
      <c r="B26" s="13"/>
      <c r="C26" s="12" t="s">
        <v>42</v>
      </c>
    </row>
    <row r="27" spans="1:3" x14ac:dyDescent="0.25">
      <c r="A27" s="12" t="s">
        <v>43</v>
      </c>
      <c r="B27" s="13"/>
      <c r="C27" s="12" t="s">
        <v>44</v>
      </c>
    </row>
    <row r="28" spans="1:3" x14ac:dyDescent="0.25">
      <c r="A28" s="12" t="s">
        <v>45</v>
      </c>
      <c r="B28" s="13"/>
      <c r="C28" s="15" t="s">
        <v>56</v>
      </c>
    </row>
    <row r="29" spans="1:3" x14ac:dyDescent="0.25">
      <c r="A29" s="12" t="s">
        <v>46</v>
      </c>
      <c r="B29" s="13"/>
      <c r="C29" s="12" t="s">
        <v>47</v>
      </c>
    </row>
    <row r="30" spans="1:3" x14ac:dyDescent="0.25">
      <c r="A30" s="12" t="s">
        <v>48</v>
      </c>
      <c r="B30" s="13"/>
      <c r="C30" s="12" t="s">
        <v>49</v>
      </c>
    </row>
    <row r="31" spans="1:3" x14ac:dyDescent="0.25">
      <c r="A31" s="12" t="s">
        <v>50</v>
      </c>
      <c r="B31" s="13"/>
      <c r="C31" s="15" t="s">
        <v>57</v>
      </c>
    </row>
    <row r="32" spans="1:3" x14ac:dyDescent="0.25">
      <c r="A32" s="12" t="s">
        <v>51</v>
      </c>
      <c r="B32" s="13"/>
      <c r="C32" s="12" t="s">
        <v>52</v>
      </c>
    </row>
    <row r="33" spans="1:3" x14ac:dyDescent="0.25">
      <c r="A33" s="23" t="s">
        <v>59</v>
      </c>
      <c r="B33" s="10">
        <f>B1+3</f>
        <v>46205</v>
      </c>
      <c r="C33" s="9"/>
    </row>
    <row r="34" spans="1:3" x14ac:dyDescent="0.25">
      <c r="A34" s="22" t="s">
        <v>58</v>
      </c>
      <c r="B34" s="14"/>
      <c r="C34" s="11"/>
    </row>
    <row r="35" spans="1:3" x14ac:dyDescent="0.25">
      <c r="A35" s="11"/>
      <c r="B35" s="14"/>
      <c r="C35" s="11"/>
    </row>
    <row r="36" spans="1:3" x14ac:dyDescent="0.25">
      <c r="A36" s="11"/>
      <c r="B36" s="14"/>
      <c r="C36" s="11"/>
    </row>
    <row r="37" spans="1:3" x14ac:dyDescent="0.25">
      <c r="A37" s="11"/>
      <c r="B37" s="14"/>
      <c r="C37" s="11"/>
    </row>
    <row r="38" spans="1:3" x14ac:dyDescent="0.25">
      <c r="A38" s="11"/>
      <c r="B38" s="14"/>
      <c r="C38" s="11"/>
    </row>
    <row r="39" spans="1:3" x14ac:dyDescent="0.25">
      <c r="A39" s="11"/>
      <c r="B39" s="14"/>
      <c r="C39" s="11"/>
    </row>
    <row r="40" spans="1:3" x14ac:dyDescent="0.25">
      <c r="A40" s="11"/>
      <c r="B40" s="14"/>
      <c r="C40" s="11"/>
    </row>
    <row r="41" spans="1:3" x14ac:dyDescent="0.25">
      <c r="A41" s="11"/>
      <c r="B41" s="14"/>
      <c r="C41" s="11"/>
    </row>
    <row r="42" spans="1:3" x14ac:dyDescent="0.25">
      <c r="A42" s="11"/>
      <c r="B42" s="14"/>
      <c r="C42" s="11"/>
    </row>
    <row r="43" spans="1:3" x14ac:dyDescent="0.25">
      <c r="A43" s="23" t="s">
        <v>60</v>
      </c>
      <c r="B43" s="10">
        <f>B1+4</f>
        <v>46206</v>
      </c>
      <c r="C43" s="9"/>
    </row>
    <row r="44" spans="1:3" x14ac:dyDescent="0.25">
      <c r="A44" s="22" t="s">
        <v>58</v>
      </c>
      <c r="B44" s="14"/>
      <c r="C44" s="11"/>
    </row>
    <row r="45" spans="1:3" x14ac:dyDescent="0.25">
      <c r="A45" s="11"/>
      <c r="B45" s="14"/>
      <c r="C45" s="11"/>
    </row>
    <row r="46" spans="1:3" x14ac:dyDescent="0.25">
      <c r="A46" s="11"/>
      <c r="B46" s="14"/>
      <c r="C46" s="11"/>
    </row>
    <row r="47" spans="1:3" x14ac:dyDescent="0.25">
      <c r="A47" s="11"/>
      <c r="B47" s="14"/>
      <c r="C47" s="11"/>
    </row>
    <row r="48" spans="1:3" x14ac:dyDescent="0.25">
      <c r="A48" s="11"/>
      <c r="B48" s="14"/>
      <c r="C48" s="11"/>
    </row>
    <row r="49" spans="1:3" x14ac:dyDescent="0.25">
      <c r="A49" s="11"/>
      <c r="B49" s="14"/>
      <c r="C49" s="11"/>
    </row>
    <row r="50" spans="1:3" x14ac:dyDescent="0.25">
      <c r="A50" s="11"/>
      <c r="B50" s="14"/>
      <c r="C50" s="11"/>
    </row>
    <row r="51" spans="1:3" x14ac:dyDescent="0.25">
      <c r="A51" s="11"/>
      <c r="B51" s="14"/>
      <c r="C51" s="11"/>
    </row>
    <row r="52" spans="1:3" x14ac:dyDescent="0.25">
      <c r="A52" s="11"/>
      <c r="B52" s="14"/>
      <c r="C52" s="11"/>
    </row>
    <row r="53" spans="1:3" x14ac:dyDescent="0.25">
      <c r="A53" s="11"/>
      <c r="B53" s="14"/>
      <c r="C53" s="11"/>
    </row>
    <row r="54" spans="1:3" x14ac:dyDescent="0.25">
      <c r="A54" s="11"/>
      <c r="B54" s="14"/>
      <c r="C54" s="11"/>
    </row>
    <row r="55" spans="1:3" x14ac:dyDescent="0.25">
      <c r="A55" s="11"/>
      <c r="B55" s="14"/>
      <c r="C55" s="11"/>
    </row>
    <row r="56" spans="1:3" x14ac:dyDescent="0.25">
      <c r="A56" s="11"/>
      <c r="B56" s="14"/>
      <c r="C56" s="11"/>
    </row>
    <row r="57" spans="1:3" x14ac:dyDescent="0.25">
      <c r="A57" s="11"/>
      <c r="B57" s="14"/>
      <c r="C57" s="11"/>
    </row>
    <row r="58" spans="1:3" x14ac:dyDescent="0.25">
      <c r="A58" s="6"/>
      <c r="B58" s="17"/>
      <c r="C58" s="6"/>
    </row>
    <row r="59" spans="1:3" x14ac:dyDescent="0.25">
      <c r="A59" s="6"/>
      <c r="B59" s="17"/>
      <c r="C59" s="6"/>
    </row>
    <row r="60" spans="1:3" x14ac:dyDescent="0.25">
      <c r="A60" s="6"/>
      <c r="B60" s="17"/>
      <c r="C60" s="6"/>
    </row>
    <row r="61" spans="1:3" x14ac:dyDescent="0.25">
      <c r="A61" s="6"/>
      <c r="B61" s="17"/>
      <c r="C61" s="6"/>
    </row>
    <row r="62" spans="1:3" x14ac:dyDescent="0.25">
      <c r="A62" s="6"/>
      <c r="B62" s="17"/>
      <c r="C62" s="6"/>
    </row>
    <row r="63" spans="1:3" x14ac:dyDescent="0.25">
      <c r="A63" s="6"/>
      <c r="B63" s="17"/>
      <c r="C63" s="6"/>
    </row>
  </sheetData>
  <mergeCells count="2">
    <mergeCell ref="B3:C3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26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Barsanti</cp:lastModifiedBy>
  <cp:revision>0</cp:revision>
  <dcterms:created xsi:type="dcterms:W3CDTF">2026-06-15T03:16:59Z</dcterms:created>
  <dcterms:modified xsi:type="dcterms:W3CDTF">2026-06-29T16:00:39Z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0x010100AD68E92908C16F46B146892DFB70CF0E</vt:lpwstr>
  </property>
</Properties>
</file>