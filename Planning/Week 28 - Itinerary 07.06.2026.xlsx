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ris\Documents\GitHub\dex\Planning\"/>
    </mc:Choice>
  </mc:AlternateContent>
  <xr:revisionPtr revIDLastSave="0" documentId="13_ncr:1_{8E682BAD-8C28-4403-8301-3A9BAE394ACF}" xr6:coauthVersionLast="47" xr6:coauthVersionMax="47" xr10:uidLastSave="{00000000-0000-0000-0000-000000000000}"/>
  <bookViews>
    <workbookView minimized="1" xWindow="3120" yWindow="3120" windowWidth="21600" windowHeight="11295" tabRatio="500" xr2:uid="{00000000-000D-0000-FFFF-FFFF00000000}"/>
  </bookViews>
  <sheets>
    <sheet name="Week 26 Itinerary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  <c r="B35" i="1"/>
  <c r="B25" i="1"/>
  <c r="B16" i="1"/>
  <c r="B6" i="1"/>
</calcChain>
</file>

<file path=xl/sharedStrings.xml><?xml version="1.0" encoding="utf-8"?>
<sst xmlns="http://schemas.openxmlformats.org/spreadsheetml/2006/main" count="103" uniqueCount="102">
  <si>
    <t>Itinerary Week of:</t>
  </si>
  <si>
    <t>Highlight the accounts you will promote our KPI - Vendors to this week.</t>
  </si>
  <si>
    <t>AGT Robotics, TRUMPF - Vendor, KALTENBACH North America Inc., Mid Atlantic Global, Pat Mooney Saws, FAB-LINE MACHINERY LLC (Baykal), Cidan Machinery, Flow Waterjet, Vectis Automation, Electro-Mechanical Integrators Inc. (EMI), ALLtra Corp., Geka USA, HE&amp;M Saw, Mid Atlantic Machinery Automation, Standard Industrial Corp.</t>
  </si>
  <si>
    <t>Highlight (2) New Accounts to visit</t>
  </si>
  <si>
    <t>Chown's Fabrication &amp; Rigging; MBI HVAC Inc.</t>
  </si>
  <si>
    <t>Day:</t>
  </si>
  <si>
    <t>Comment:</t>
  </si>
  <si>
    <t>Details:</t>
  </si>
  <si>
    <t>Monday - Lehigh Valley</t>
  </si>
  <si>
    <t>MAM Huddle</t>
  </si>
  <si>
    <t>Weekly team huddle</t>
  </si>
  <si>
    <t>Human Active Technology</t>
  </si>
  <si>
    <t>TRU - ($2,258,500 Acti/Favo) - Walter Srsich ((610) 559-6370) - confirm panel bender config, push to close</t>
  </si>
  <si>
    <t>Precision Fabricating Group</t>
  </si>
  <si>
    <t>AGT/MAG - ($1,269,900 Disc/Favo) - Tim Roberston ((610) 438-3156) - advance AGT + laser, propose demo</t>
  </si>
  <si>
    <t>All Steel Service Inc</t>
  </si>
  <si>
    <t>TRU/MAG - ($1,097,873 Nego/Quot) - Jim Yandrofski ((484) 357-3752) - Negotiation - confirm final pricing, drive to PO</t>
  </si>
  <si>
    <t>ASGCO Mfg Inc.</t>
  </si>
  <si>
    <t>TRU - ($755,000 Quot) - Bob Ladue (610-821-0210) - follow up on laser quote</t>
  </si>
  <si>
    <t>AW Mercer</t>
  </si>
  <si>
    <t>MAG/MAM - ($597,448 Disc/Quot) - Tim Meade (610-367-8460,129) - Haeger + press brake quote follow-up</t>
  </si>
  <si>
    <t>Myers Emergency Power Systems</t>
  </si>
  <si>
    <t>CID - ($526,400 Nego) - Jim Kressler ((610)868-3500,2110) - Negotiation - CNC folder close</t>
  </si>
  <si>
    <t>Levan Associates Inc</t>
  </si>
  <si>
    <t>AGT - ($413,248 Favo) - Douglas Schul ((610) 967-6843) - Favorable - advance BeamMaster</t>
  </si>
  <si>
    <t>MBI HVAC Inc.</t>
  </si>
  <si>
    <t>Mark Berean (610-821-9555) - REPLACEMENT: PLASMA-PRO (2011) ~15yr, pitch fiber + Summer Demo Days invite</t>
  </si>
  <si>
    <t>Tuesday - Bucks County / Bristol</t>
  </si>
  <si>
    <t>Hadco Metal Trading Co, LLC - Bensalem, PA</t>
  </si>
  <si>
    <t>TRU - ($1,709,589 Favo/Quot) - Evgeny Voytovich ((215) 680-7239) - Favorable/Quoting - advance TRUMPF laser</t>
  </si>
  <si>
    <t>Penn Steel Fabrication, Inc.</t>
  </si>
  <si>
    <t>KAL/AGT - ($720,905 Acti/Disc/Favo) - Arshad Afridi ((267) 878-0705) - AGT/KALTENBACH - book demo</t>
  </si>
  <si>
    <t>Pennsylvania Steel Company - Bensalem, PA</t>
  </si>
  <si>
    <t>PMI/HEM - ($719,895 Acti/Disc/Quot) - Dennis Riveron ((888) 432-4541) - HE&amp;M saw - advance</t>
  </si>
  <si>
    <t>TrenchTech, Inc.</t>
  </si>
  <si>
    <t>ALL/VEC - ($357,304 Disc/Favo/Quot) - Connor Kerrigan ((215) 317-7548) - ALLtra - Favorable, advance to quote</t>
  </si>
  <si>
    <t>Northeast Plastics</t>
  </si>
  <si>
    <t>($250,000 Acti) - Patrick Wert (215-637-221) - Active Project - C.R. Onsrud check-in</t>
  </si>
  <si>
    <t>DEL Motorized Solutions</t>
  </si>
  <si>
    <t>Dennis Lister (1-866-446-6867) - REACTIVATION: historic buyer, open discovery</t>
  </si>
  <si>
    <t>Reliable Equipment Mfg Co</t>
  </si>
  <si>
    <t>($79,500 Disc) - Bob Eberle ((215) 357-7015) - Discovery - qualify need</t>
  </si>
  <si>
    <t>Prime Sheet Metal Inc</t>
  </si>
  <si>
    <t>($50,000 Disc) - Dominic Bonitatis ((215) 672-9191) - Discovery - qualify need</t>
  </si>
  <si>
    <t>Wednesday - Montgomery County</t>
  </si>
  <si>
    <t>SS Industries</t>
  </si>
  <si>
    <t>TRU/ALL - ($1,261,972 Disc/Favo/Quot) - Dan Miller ((610) 489-5799) - ALLtra/Cosen - advance laser + saw</t>
  </si>
  <si>
    <t>KLT Group, Inc</t>
  </si>
  <si>
    <t>TRU - ($450,000 Disc) - Mike Gdowik ((215) 525-0902) - TRUMPF - Discovery, qualify</t>
  </si>
  <si>
    <t>Michael Addesso Marble &amp; Granite World, Inc.</t>
  </si>
  <si>
    <t>FLO - ($414,450 Acti) - Chris Capodanno (5612469410) - Flow Waterjet - Active Project check-in</t>
  </si>
  <si>
    <t>Gambone Steel Company, Inc.</t>
  </si>
  <si>
    <t>ALL/EMI - ($360,873 Acti/Quot) - Ralph Gambone ((610) 539-6505) - ALLtra - Active/Quoting, advance</t>
  </si>
  <si>
    <t>EC Fence &amp; Ironworks</t>
  </si>
  <si>
    <t>($220,130 Favo/Quot) - Erik Sims ((484) 679-1350) - Favorable/Quoting - advance</t>
  </si>
  <si>
    <t>Thursday - Upper Bucks / Souderton</t>
  </si>
  <si>
    <t>Scaletron Industries Inc</t>
  </si>
  <si>
    <t>MAG/TRU - ($498,979 Quot) - Ed Dougherty ((215) 766-2670) - MAG/TRUMPF - Quoting follow-up</t>
  </si>
  <si>
    <t>Gouldey Welding &amp; Fab, Inc</t>
  </si>
  <si>
    <t>TRU - ($495,000 Disc) - Bruce Gouldey ((215) 721-9522) - TRUMPF - Discovery, qualify</t>
  </si>
  <si>
    <t>Vulcan Spring &amp; Manufacturing</t>
  </si>
  <si>
    <t>TRU - ($300,000 Acti) - Bill Krauss ((215) 721-1721) - TRUMPF - Active Project</t>
  </si>
  <si>
    <t>Klover Prefab</t>
  </si>
  <si>
    <t>ALL/TRU - ($252,286 Disc/Quot) - Scott Evans ((215) 536-7706) - ALLtra/Baykal - Quoting follow-up</t>
  </si>
  <si>
    <t>Roy J. Shelton Inc</t>
  </si>
  <si>
    <t>Roy Shelton ((215) 538-0154) - REACTIVATION: 4 prior wins, open discovery</t>
  </si>
  <si>
    <t>J.I. Landis Welding &amp; Mechanical, Inc.</t>
  </si>
  <si>
    <t>($85,060 Acti/Quot) - Jesse Landis ((215) 703-0838) - Active/Quoting - advance</t>
  </si>
  <si>
    <t>Solar Manufacturing</t>
  </si>
  <si>
    <t>($160,000 Disc) - Andrew Zuck ((267) 384-5040) - Discovery - qualify</t>
  </si>
  <si>
    <t>Haberle Steel, Inc</t>
  </si>
  <si>
    <t>($30,000 Nego) - Craig Haberle ((215) 723-8848) - Negotiation - close</t>
  </si>
  <si>
    <t>Friday - Office + NEPA Calls</t>
  </si>
  <si>
    <t>Pipeline Review</t>
  </si>
  <si>
    <t>Weekly pipeline + activity sync</t>
  </si>
  <si>
    <t>Kelly Iron Works, Inc. (call)</t>
  </si>
  <si>
    <t>KAL/AGT - ($3,844,805 Acti/Disc/Favo/Quot) - Boina Kelly ((610) 872-5436) - Call: AGT/KALTENBACH close push</t>
  </si>
  <si>
    <t>Gottstein Corporation (call)</t>
  </si>
  <si>
    <t>FLO/TRU - ($695,000 Acti/Quot) - Andy Skuntz ((570) 454-7162) - Call: Flow/TRUMPF - advance</t>
  </si>
  <si>
    <t>Galaxy Manufacturing Co (call)</t>
  </si>
  <si>
    <t>TRU/MAM - ($616,780 Acti/Disc) - Frank Agustini ((570) 457-5199) - Call: MAM Automation - advance</t>
  </si>
  <si>
    <t>Powell's Sales and Service (call)</t>
  </si>
  <si>
    <t>GEK/STA - ($566,240 Acti) - Ken Powell ((570) 587-2743) - Call: Geka/Standard - Active</t>
  </si>
  <si>
    <t>Production Systems Automation (PSA) - Duryea, PA (call)</t>
  </si>
  <si>
    <t>TRU - ($505,000 Acti) - Ron Pesotini ((570) 602-4200) - Call: TRUMPF - Active Project</t>
  </si>
  <si>
    <t>EVS Metal - East Stroudsburg, PA (call)</t>
  </si>
  <si>
    <t>MAM/MAG - ($408,365 Acti/Disc) - Wayne Bruck ((570) 476-1800) - Call: MAG - advance</t>
  </si>
  <si>
    <t>RJR Fabrication (call)</t>
  </si>
  <si>
    <t>TRU - ($295,000 Nego) - Bob Leonard ((570) 319-9880) - Call: Negotiation - close push</t>
  </si>
  <si>
    <t>James Cox &amp; Sons (call)</t>
  </si>
  <si>
    <t>TRU/CID - ($139,650 Acti/Nego) - Joe Carr ((570) 342-6327) - Call: Negotiation - Cidan folder + TRUMPF</t>
  </si>
  <si>
    <t>Sutphen East Corporation (call)</t>
  </si>
  <si>
    <t>Tony Sambuca ((570) 647-5916) - Call: REACTIVATION: historic buyer</t>
  </si>
  <si>
    <t>Follow-Ups &amp; Admin</t>
  </si>
  <si>
    <t>Log activity [dex], send outreach wave</t>
  </si>
  <si>
    <t>Gwynedd Manufacturing Co</t>
  </si>
  <si>
    <t>TRU - TL1030 ($400K Quoting) - Cody Noll - Gwynedd, PA - updated TRUMPF quote, review timeline</t>
  </si>
  <si>
    <t>AGT - BeamMaster ($413K Favorable) - David Mushko - (610) 967-6843 - Pottstown area - advance to close plan, set demo date</t>
  </si>
  <si>
    <t>Wolsky Metal Fabrication</t>
  </si>
  <si>
    <t>VIR - LTG ($43K Favorable) + EMI - ELSQRD/TPC24 ($147K Quoting) - 3+ weeks since last touch - close Virtek, advance EMI</t>
  </si>
  <si>
    <t>Craftweld Fabrication (call)</t>
  </si>
  <si>
    <t>FIN - FL4200 ($177K Active Project) - Glenn Spalding - (267) 492-1100 - Montgomeryville, PA - check project status, identify next opportunity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</si>
</sst>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79857783745845"/>
        <bgColor rgb="FFB7DEE8"/>
      </patternFill>
    </fill>
    <fill>
      <patternFill patternType="solid">
        <fgColor theme="8" tint="0.59987182226020086"/>
        <bgColor rgb="FFC6D9F1"/>
      </patternFill>
    </fill>
    <fill>
      <patternFill patternType="solid">
        <fgColor theme="9" tint="0.59987182226020086"/>
        <bgColor rgb="FFFFF2C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5" fillId="2" borderId="0" xfId="0" applyFont="1" applyFill="1"/>
    <xf numFmtId="14" fontId="3" fillId="2" borderId="0" xfId="0" applyNumberFormat="1" applyFont="1" applyFill="1" applyAlignment="1">
      <alignment horizontal="center" vertical="top"/>
    </xf>
    <xf numFmtId="0" fontId="6" fillId="0" borderId="0" xfId="0" applyFont="1" applyAlignment="1">
      <alignment vertical="top" wrapText="1"/>
    </xf>
    <xf numFmtId="0" fontId="4" fillId="5" borderId="0" xfId="0" applyFont="1" applyFill="1" applyAlignment="1">
      <alignment vertical="top"/>
    </xf>
    <xf numFmtId="14" fontId="1" fillId="0" borderId="0" xfId="0" applyNumberFormat="1" applyFont="1" applyAlignment="1">
      <alignment horizontal="center" vertical="top"/>
    </xf>
    <xf numFmtId="14" fontId="6" fillId="0" borderId="0" xfId="0" applyNumberFormat="1" applyFont="1" applyAlignment="1">
      <alignment vertical="top" wrapText="1"/>
    </xf>
    <xf numFmtId="14" fontId="0" fillId="0" borderId="0" xfId="0" applyNumberFormat="1"/>
    <xf numFmtId="0" fontId="2" fillId="4" borderId="0" xfId="0" applyFont="1" applyFill="1" applyAlignment="1">
      <alignment horizontal="left" vertical="center" wrapText="1"/>
    </xf>
    <xf numFmtId="0" fontId="0" fillId="0" borderId="0" xfId="0"/>
    <xf numFmtId="0" fontId="8" fillId="2" borderId="0" xfId="0" applyFont="1" applyFill="1" applyAlignment="1">
      <alignment vertical="top" wrapText="1"/>
    </xf>
    <xf numFmtId="14" fontId="8" fillId="0" borderId="0" xfId="0" applyNumberFormat="1" applyFont="1" applyAlignment="1">
      <alignment vertical="top" wrapText="1"/>
    </xf>
    <xf numFmtId="0" fontId="7" fillId="0" borderId="0" xfId="0" applyFont="1" applyAlignment="1">
      <alignment vertical="top" wrapText="1"/>
    </xf>
    <xf numFmtId="14" fontId="7" fillId="0" borderId="0" xfId="0" applyNumberFormat="1" applyFont="1" applyAlignment="1">
      <alignment vertical="top" wrapText="1"/>
    </xf>
    <xf numFmtId="0" fontId="7" fillId="5" borderId="0" xfId="0" applyFont="1" applyFill="1" applyAlignment="1">
      <alignment vertical="top" wrapText="1"/>
    </xf>
    <xf numFmtId="14" fontId="7" fillId="5" borderId="0" xfId="0" applyNumberFormat="1" applyFont="1" applyFill="1" applyAlignment="1">
      <alignment vertical="top" wrapText="1"/>
    </xf>
    <xf numFmtId="0" fontId="2" fillId="4" borderId="0" xfId="0" applyFont="1" applyFill="1" applyAlignment="1">
      <alignment horizontal="left" vertical="center" wrapText="1"/>
    </xf>
    <xf numFmtId="0" fontId="0" fillId="0" borderId="0" xfId="0"/>
    <xf numFmtId="0" fontId="3" fillId="3" borderId="0" xfId="0" applyFont="1" applyFill="1" applyAlignment="1">
      <alignment vertical="center" wrapText="1"/>
    </xf>
    <xf numFmtId="14" fontId="4" fillId="5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topLeftCell="A13" zoomScaleNormal="100" workbookViewId="0">
      <selection activeCell="B32" sqref="B32"/>
    </sheetView>
  </sheetViews>
  <sheetFormatPr defaultColWidth="8.7109375" defaultRowHeight="15" x14ac:dyDescent="0.25"/>
  <cols>
    <col min="1" max="1" width="37" style="12" bestFit="1" customWidth="1"/>
    <col min="2" max="2" width="13.42578125" style="10" customWidth="1"/>
    <col min="3" max="3" width="75" style="12" customWidth="1"/>
  </cols>
  <sheetData>
    <row r="1" spans="1:3" x14ac:dyDescent="0.25">
      <c r="A1" s="3" t="s">
        <v>0</v>
      </c>
      <c r="B1" s="5">
        <v>46209</v>
      </c>
      <c r="C1" s="4"/>
    </row>
    <row r="2" spans="1:3" ht="72" customHeight="1" x14ac:dyDescent="0.25">
      <c r="A2" s="1" t="s">
        <v>1</v>
      </c>
      <c r="B2" s="21" t="s">
        <v>2</v>
      </c>
      <c r="C2" s="20"/>
    </row>
    <row r="3" spans="1:3" x14ac:dyDescent="0.25">
      <c r="A3" s="11" t="s">
        <v>3</v>
      </c>
      <c r="B3" s="19" t="s">
        <v>4</v>
      </c>
      <c r="C3" s="20"/>
    </row>
    <row r="4" spans="1:3" x14ac:dyDescent="0.25">
      <c r="A4" s="2" t="s">
        <v>5</v>
      </c>
      <c r="B4" s="8" t="s">
        <v>6</v>
      </c>
      <c r="C4" s="2" t="s">
        <v>7</v>
      </c>
    </row>
    <row r="5" spans="1:3" x14ac:dyDescent="0.25">
      <c r="A5" s="6"/>
      <c r="B5" s="9"/>
      <c r="C5" s="6"/>
    </row>
    <row r="6" spans="1:3" x14ac:dyDescent="0.25">
      <c r="A6" s="13" t="s">
        <v>8</v>
      </c>
      <c r="B6" s="14">
        <f>B1</f>
        <v>46209</v>
      </c>
      <c r="C6" s="15"/>
    </row>
    <row r="7" spans="1:3" x14ac:dyDescent="0.25">
      <c r="A7" s="15" t="s">
        <v>9</v>
      </c>
      <c r="B7" s="16"/>
      <c r="C7" s="15" t="s">
        <v>10</v>
      </c>
    </row>
    <row r="8" spans="1:3" ht="25.5" x14ac:dyDescent="0.25">
      <c r="A8" s="17" t="s">
        <v>11</v>
      </c>
      <c r="B8" s="18"/>
      <c r="C8" s="17" t="s">
        <v>12</v>
      </c>
    </row>
    <row r="9" spans="1:3" ht="25.5" x14ac:dyDescent="0.25">
      <c r="A9" s="17" t="s">
        <v>13</v>
      </c>
      <c r="B9" s="18"/>
      <c r="C9" s="17" t="s">
        <v>14</v>
      </c>
    </row>
    <row r="10" spans="1:3" ht="25.5" x14ac:dyDescent="0.25">
      <c r="A10" s="17" t="s">
        <v>15</v>
      </c>
      <c r="B10" s="18"/>
      <c r="C10" s="17" t="s">
        <v>16</v>
      </c>
    </row>
    <row r="11" spans="1:3" x14ac:dyDescent="0.25">
      <c r="A11" s="17" t="s">
        <v>17</v>
      </c>
      <c r="B11" s="18"/>
      <c r="C11" s="17" t="s">
        <v>18</v>
      </c>
    </row>
    <row r="12" spans="1:3" ht="25.5" x14ac:dyDescent="0.25">
      <c r="A12" s="17" t="s">
        <v>19</v>
      </c>
      <c r="B12" s="18"/>
      <c r="C12" s="17" t="s">
        <v>20</v>
      </c>
    </row>
    <row r="13" spans="1:3" x14ac:dyDescent="0.25">
      <c r="A13" s="17" t="s">
        <v>21</v>
      </c>
      <c r="B13" s="18"/>
      <c r="C13" s="17" t="s">
        <v>22</v>
      </c>
    </row>
    <row r="14" spans="1:3" x14ac:dyDescent="0.25">
      <c r="A14" s="17" t="s">
        <v>23</v>
      </c>
      <c r="B14" s="18"/>
      <c r="C14" s="17" t="s">
        <v>24</v>
      </c>
    </row>
    <row r="15" spans="1:3" ht="25.5" x14ac:dyDescent="0.25">
      <c r="A15" s="15" t="s">
        <v>25</v>
      </c>
      <c r="B15" s="16"/>
      <c r="C15" s="15" t="s">
        <v>26</v>
      </c>
    </row>
    <row r="16" spans="1:3" x14ac:dyDescent="0.25">
      <c r="A16" s="13" t="s">
        <v>27</v>
      </c>
      <c r="B16" s="14">
        <f>B1+1</f>
        <v>46210</v>
      </c>
      <c r="C16" s="15"/>
    </row>
    <row r="17" spans="1:3" ht="25.5" x14ac:dyDescent="0.25">
      <c r="A17" s="17" t="s">
        <v>28</v>
      </c>
      <c r="B17" s="18"/>
      <c r="C17" s="17" t="s">
        <v>29</v>
      </c>
    </row>
    <row r="18" spans="1:3" ht="25.5" x14ac:dyDescent="0.25">
      <c r="A18" s="17" t="s">
        <v>30</v>
      </c>
      <c r="B18" s="18"/>
      <c r="C18" s="17" t="s">
        <v>31</v>
      </c>
    </row>
    <row r="19" spans="1:3" ht="25.5" x14ac:dyDescent="0.25">
      <c r="A19" s="17" t="s">
        <v>32</v>
      </c>
      <c r="B19" s="18"/>
      <c r="C19" s="17" t="s">
        <v>33</v>
      </c>
    </row>
    <row r="20" spans="1:3" ht="25.5" x14ac:dyDescent="0.25">
      <c r="A20" s="17" t="s">
        <v>34</v>
      </c>
      <c r="B20" s="18"/>
      <c r="C20" s="17" t="s">
        <v>35</v>
      </c>
    </row>
    <row r="21" spans="1:3" x14ac:dyDescent="0.25">
      <c r="A21" s="15" t="s">
        <v>36</v>
      </c>
      <c r="B21" s="16"/>
      <c r="C21" s="15" t="s">
        <v>37</v>
      </c>
    </row>
    <row r="22" spans="1:3" x14ac:dyDescent="0.25">
      <c r="A22" s="15" t="s">
        <v>38</v>
      </c>
      <c r="B22" s="16"/>
      <c r="C22" s="15" t="s">
        <v>39</v>
      </c>
    </row>
    <row r="23" spans="1:3" x14ac:dyDescent="0.25">
      <c r="A23" s="15" t="s">
        <v>40</v>
      </c>
      <c r="B23" s="16"/>
      <c r="C23" s="15" t="s">
        <v>41</v>
      </c>
    </row>
    <row r="24" spans="1:3" x14ac:dyDescent="0.25">
      <c r="A24" s="15" t="s">
        <v>42</v>
      </c>
      <c r="B24" s="16"/>
      <c r="C24" s="15" t="s">
        <v>43</v>
      </c>
    </row>
    <row r="25" spans="1:3" x14ac:dyDescent="0.25">
      <c r="A25" s="13" t="s">
        <v>44</v>
      </c>
      <c r="B25" s="14">
        <f>B1+2</f>
        <v>46211</v>
      </c>
      <c r="C25" s="15"/>
    </row>
    <row r="26" spans="1:3" ht="25.5" x14ac:dyDescent="0.25">
      <c r="A26" s="17" t="s">
        <v>45</v>
      </c>
      <c r="B26" s="18"/>
      <c r="C26" s="17" t="s">
        <v>46</v>
      </c>
    </row>
    <row r="27" spans="1:3" s="12" customFormat="1" x14ac:dyDescent="0.25">
      <c r="A27" s="7" t="s">
        <v>95</v>
      </c>
      <c r="B27" s="22"/>
      <c r="C27" s="7" t="s">
        <v>96</v>
      </c>
    </row>
    <row r="28" spans="1:3" s="12" customFormat="1" x14ac:dyDescent="0.25">
      <c r="A28" s="7" t="s">
        <v>23</v>
      </c>
      <c r="B28" s="22"/>
      <c r="C28" s="7" t="s">
        <v>97</v>
      </c>
    </row>
    <row r="29" spans="1:3" s="12" customFormat="1" x14ac:dyDescent="0.25">
      <c r="A29" s="7" t="s">
        <v>98</v>
      </c>
      <c r="B29" s="22"/>
      <c r="C29" s="7" t="s">
        <v>99</v>
      </c>
    </row>
    <row r="30" spans="1:3" s="12" customFormat="1" x14ac:dyDescent="0.25">
      <c r="A30" s="7" t="s">
        <v>100</v>
      </c>
      <c r="B30" s="22"/>
      <c r="C30" s="7" t="s">
        <v>101</v>
      </c>
    </row>
    <row r="31" spans="1:3" x14ac:dyDescent="0.25">
      <c r="A31" s="17" t="s">
        <v>47</v>
      </c>
      <c r="B31" s="18"/>
      <c r="C31" s="17" t="s">
        <v>48</v>
      </c>
    </row>
    <row r="32" spans="1:3" ht="25.5" x14ac:dyDescent="0.25">
      <c r="A32" s="17" t="s">
        <v>49</v>
      </c>
      <c r="B32" s="18"/>
      <c r="C32" s="17" t="s">
        <v>50</v>
      </c>
    </row>
    <row r="33" spans="1:3" ht="25.5" x14ac:dyDescent="0.25">
      <c r="A33" s="17" t="s">
        <v>51</v>
      </c>
      <c r="B33" s="18"/>
      <c r="C33" s="17" t="s">
        <v>52</v>
      </c>
    </row>
    <row r="34" spans="1:3" x14ac:dyDescent="0.25">
      <c r="A34" s="15" t="s">
        <v>53</v>
      </c>
      <c r="B34" s="16"/>
      <c r="C34" s="15" t="s">
        <v>54</v>
      </c>
    </row>
    <row r="35" spans="1:3" x14ac:dyDescent="0.25">
      <c r="A35" s="13" t="s">
        <v>55</v>
      </c>
      <c r="B35" s="14">
        <f>B1+3</f>
        <v>46212</v>
      </c>
      <c r="C35" s="15"/>
    </row>
    <row r="36" spans="1:3" ht="25.5" x14ac:dyDescent="0.25">
      <c r="A36" s="17" t="s">
        <v>56</v>
      </c>
      <c r="B36" s="18"/>
      <c r="C36" s="17" t="s">
        <v>57</v>
      </c>
    </row>
    <row r="37" spans="1:3" x14ac:dyDescent="0.25">
      <c r="A37" s="17" t="s">
        <v>58</v>
      </c>
      <c r="B37" s="18"/>
      <c r="C37" s="17" t="s">
        <v>59</v>
      </c>
    </row>
    <row r="38" spans="1:3" x14ac:dyDescent="0.25">
      <c r="A38" s="17" t="s">
        <v>60</v>
      </c>
      <c r="B38" s="18"/>
      <c r="C38" s="17" t="s">
        <v>61</v>
      </c>
    </row>
    <row r="39" spans="1:3" ht="25.5" x14ac:dyDescent="0.25">
      <c r="A39" s="17" t="s">
        <v>62</v>
      </c>
      <c r="B39" s="18"/>
      <c r="C39" s="17" t="s">
        <v>63</v>
      </c>
    </row>
    <row r="40" spans="1:3" x14ac:dyDescent="0.25">
      <c r="A40" s="15" t="s">
        <v>64</v>
      </c>
      <c r="B40" s="16"/>
      <c r="C40" s="15" t="s">
        <v>65</v>
      </c>
    </row>
    <row r="41" spans="1:3" x14ac:dyDescent="0.25">
      <c r="A41" s="15" t="s">
        <v>66</v>
      </c>
      <c r="B41" s="16"/>
      <c r="C41" s="15" t="s">
        <v>67</v>
      </c>
    </row>
    <row r="42" spans="1:3" x14ac:dyDescent="0.25">
      <c r="A42" s="15" t="s">
        <v>68</v>
      </c>
      <c r="B42" s="16"/>
      <c r="C42" s="15" t="s">
        <v>69</v>
      </c>
    </row>
    <row r="43" spans="1:3" x14ac:dyDescent="0.25">
      <c r="A43" s="15" t="s">
        <v>70</v>
      </c>
      <c r="B43" s="16"/>
      <c r="C43" s="15" t="s">
        <v>71</v>
      </c>
    </row>
    <row r="44" spans="1:3" x14ac:dyDescent="0.25">
      <c r="A44" s="13" t="s">
        <v>72</v>
      </c>
      <c r="B44" s="14">
        <f>B1+4</f>
        <v>46213</v>
      </c>
      <c r="C44" s="15"/>
    </row>
    <row r="45" spans="1:3" x14ac:dyDescent="0.25">
      <c r="A45" s="15" t="s">
        <v>73</v>
      </c>
      <c r="B45" s="16"/>
      <c r="C45" s="15" t="s">
        <v>74</v>
      </c>
    </row>
    <row r="46" spans="1:3" ht="25.5" x14ac:dyDescent="0.25">
      <c r="A46" s="17" t="s">
        <v>75</v>
      </c>
      <c r="B46" s="18"/>
      <c r="C46" s="17" t="s">
        <v>76</v>
      </c>
    </row>
    <row r="47" spans="1:3" ht="25.5" x14ac:dyDescent="0.25">
      <c r="A47" s="17" t="s">
        <v>77</v>
      </c>
      <c r="B47" s="18"/>
      <c r="C47" s="17" t="s">
        <v>78</v>
      </c>
    </row>
    <row r="48" spans="1:3" ht="25.5" x14ac:dyDescent="0.25">
      <c r="A48" s="17" t="s">
        <v>79</v>
      </c>
      <c r="B48" s="18"/>
      <c r="C48" s="17" t="s">
        <v>80</v>
      </c>
    </row>
    <row r="49" spans="1:3" x14ac:dyDescent="0.25">
      <c r="A49" s="17" t="s">
        <v>81</v>
      </c>
      <c r="B49" s="18"/>
      <c r="C49" s="17" t="s">
        <v>82</v>
      </c>
    </row>
    <row r="50" spans="1:3" ht="25.5" x14ac:dyDescent="0.25">
      <c r="A50" s="17" t="s">
        <v>83</v>
      </c>
      <c r="B50" s="18"/>
      <c r="C50" s="17" t="s">
        <v>84</v>
      </c>
    </row>
    <row r="51" spans="1:3" x14ac:dyDescent="0.25">
      <c r="A51" s="17" t="s">
        <v>85</v>
      </c>
      <c r="B51" s="18"/>
      <c r="C51" s="17" t="s">
        <v>86</v>
      </c>
    </row>
    <row r="52" spans="1:3" x14ac:dyDescent="0.25">
      <c r="A52" s="17" t="s">
        <v>87</v>
      </c>
      <c r="B52" s="18"/>
      <c r="C52" s="17" t="s">
        <v>88</v>
      </c>
    </row>
    <row r="53" spans="1:3" ht="25.5" x14ac:dyDescent="0.25">
      <c r="A53" s="17" t="s">
        <v>89</v>
      </c>
      <c r="B53" s="18"/>
      <c r="C53" s="17" t="s">
        <v>90</v>
      </c>
    </row>
    <row r="54" spans="1:3" x14ac:dyDescent="0.25">
      <c r="A54" s="15" t="s">
        <v>91</v>
      </c>
      <c r="B54" s="16"/>
      <c r="C54" s="15" t="s">
        <v>92</v>
      </c>
    </row>
    <row r="55" spans="1:3" x14ac:dyDescent="0.25">
      <c r="A55" s="15" t="s">
        <v>93</v>
      </c>
      <c r="B55" s="16"/>
      <c r="C55" s="15" t="s">
        <v>94</v>
      </c>
    </row>
    <row r="56" spans="1:3" x14ac:dyDescent="0.25">
      <c r="A56" s="15"/>
      <c r="B56" s="16"/>
      <c r="C56" s="15"/>
    </row>
    <row r="57" spans="1:3" x14ac:dyDescent="0.25">
      <c r="A57" s="15"/>
      <c r="B57" s="16"/>
      <c r="C57" s="15"/>
    </row>
    <row r="58" spans="1:3" x14ac:dyDescent="0.25">
      <c r="A58" s="15"/>
      <c r="B58" s="16"/>
      <c r="C58" s="15"/>
    </row>
    <row r="59" spans="1:3" x14ac:dyDescent="0.25">
      <c r="A59" s="15"/>
      <c r="B59" s="16"/>
      <c r="C59" s="15"/>
    </row>
    <row r="60" spans="1:3" x14ac:dyDescent="0.25">
      <c r="A60" s="15"/>
      <c r="B60" s="16"/>
      <c r="C60" s="15"/>
    </row>
    <row r="61" spans="1:3" x14ac:dyDescent="0.25">
      <c r="A61" s="15"/>
      <c r="B61" s="16"/>
      <c r="C61" s="15"/>
    </row>
    <row r="62" spans="1:3" x14ac:dyDescent="0.25">
      <c r="A62" s="15"/>
      <c r="B62" s="16"/>
      <c r="C62" s="15"/>
    </row>
    <row r="63" spans="1:3" x14ac:dyDescent="0.25">
      <c r="A63" s="15"/>
      <c r="B63" s="16"/>
      <c r="C63" s="15"/>
    </row>
    <row r="64" spans="1:3" x14ac:dyDescent="0.25">
      <c r="A64" s="15"/>
      <c r="B64" s="16"/>
      <c r="C64" s="15"/>
    </row>
  </sheetData>
  <mergeCells count="2">
    <mergeCell ref="B3:C3"/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26 Itinerary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Barsanti</cp:lastModifiedBy>
  <cp:revision>0</cp:revision>
  <dcterms:created xsi:type="dcterms:W3CDTF">2026-06-15T03:16:59Z</dcterms:created>
  <dcterms:modified xsi:type="dcterms:W3CDTF">2026-07-05T20:12:57Z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0x010100AD68E92908C16F46B146892DFB70CF0E</vt:lpwstr>
  </property>
</Properties>
</file>